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https://d.docs.live.net/7b7b30fb699582ac/Documents/48581275/3. Financial Mathematics/BWIA121/Final Assignment/"/>
    </mc:Choice>
  </mc:AlternateContent>
  <xr:revisionPtr revIDLastSave="1175" documentId="13_ncr:1_{0792343D-91FE-49BE-BE6A-9D3A517641A9}" xr6:coauthVersionLast="47" xr6:coauthVersionMax="47" xr10:uidLastSave="{75115C58-ABEE-46D7-8706-ADAE45D90E8B}"/>
  <bookViews>
    <workbookView xWindow="-110" yWindow="-110" windowWidth="19420" windowHeight="10300" firstSheet="3" activeTab="6" xr2:uid="{BD14CADE-2874-40B2-B215-81EEEF274641}"/>
  </bookViews>
  <sheets>
    <sheet name="HOME" sheetId="15" r:id="rId1"/>
    <sheet name="1. RATE CONVERTER" sheetId="10" r:id="rId2"/>
    <sheet name="2. SINGLE INVESTMENTS" sheetId="12" r:id="rId3"/>
    <sheet name="3. ANNUITIES" sheetId="13" r:id="rId4"/>
    <sheet name="4.LOANS" sheetId="14" r:id="rId5"/>
    <sheet name="5. INCREASING ANNUITIES" sheetId="1" r:id="rId6"/>
    <sheet name="TEB" sheetId="6" r:id="rId7"/>
    <sheet name="BACKROOM2_TEB" sheetId="8" r:id="rId8"/>
    <sheet name="BACKROOM1" sheetId="11" r:id="rId9"/>
  </sheets>
  <externalReferences>
    <externalReference r:id="rId10"/>
  </externalReferences>
  <definedNames>
    <definedName name="Absa_Group_Limited">BACKROOM2_TEB!$H$19</definedName>
    <definedName name="AlibabaGroup">BACKROOM2_TEB!$AO$19</definedName>
    <definedName name="Amazon">BACKROOM2_TEB!$O$19</definedName>
    <definedName name="AngloAmerican">BACKROOM2_TEB!$E$19</definedName>
    <definedName name="Apple">BACKROOM2_TEB!$N$19</definedName>
    <definedName name="BancodoBrasil">BACKROOM2_TEB!$AK$19</definedName>
    <definedName name="BM">BACKROOM2_TEB!$P$2:$P$12</definedName>
    <definedName name="BMW">BACKROOM2_TEB!$L$19</definedName>
    <definedName name="BP">BACKROOM2_TEB!$AV$19</definedName>
    <definedName name="br_countries">#REF!</definedName>
    <definedName name="Brazil">BACKROOM2_TEB!$F$2:$F$12</definedName>
    <definedName name="BritishAmericanTobacco">BACKROOM2_TEB!$AX$19</definedName>
    <definedName name="chi_countries">#REF!</definedName>
    <definedName name="China">BACKROOM2_TEB!$G$2:$G$12</definedName>
    <definedName name="ChinaConstructionBank">BACKROOM2_TEB!$AR$19</definedName>
    <definedName name="CiscoSystems">BACKROOM2_TEB!$V$19</definedName>
    <definedName name="CompanyList">TEB!$P$2:$P$51</definedName>
    <definedName name="CountryList">TEB!$O$2:$O$51</definedName>
    <definedName name="Dell">BACKROOM2_TEB!$W$19</definedName>
    <definedName name="DiscoveryLimited">BACKROOM2_TEB!$F$19</definedName>
    <definedName name="EskomHoldings">BACKROOM2_TEB!$K$19</definedName>
    <definedName name="ExchangeList">TEB!$Q$2:$Q$51</definedName>
    <definedName name="Facebook">BACKROOM2_TEB!$P$19</definedName>
    <definedName name="FirstRandLimited">BACKROOM2_TEB!$I$19</definedName>
    <definedName name="FSE">BACKROOM2_TEB!$L$2:$L$12</definedName>
    <definedName name="Gazprom">BACKROOM2_TEB!$AE$19</definedName>
    <definedName name="Germany">BACKROOM2_TEB!$B$2:$B$12</definedName>
    <definedName name="GlaxoSmithKline">BACKROOM2_TEB!$AW$19</definedName>
    <definedName name="gm_countries">#REF!</definedName>
    <definedName name="Google">BACKROOM2_TEB!$Q$19</definedName>
    <definedName name="Honda">BACKROOM2_TEB!$AC$19</definedName>
    <definedName name="HP">BACKROOM2_TEB!$X$19</definedName>
    <definedName name="HSBCHoldings">BACKROOM2_TEB!$AT$19</definedName>
    <definedName name="Huawei">BACKROOM2_TEB!$AQ$19</definedName>
    <definedName name="Industrial_CommercialBankofChina">BACKROOM2_TEB!$AS$19</definedName>
    <definedName name="Intel">BACKROOM2_TEB!$R$19</definedName>
    <definedName name="ItaúUnibanco">BACKROOM2_TEB!$AL$19</definedName>
    <definedName name="Japan">BACKROOM2_TEB!$D$2:$D$12</definedName>
    <definedName name="JBS">BACKROOM2_TEB!$AN$19</definedName>
    <definedName name="jpn_countries">#REF!</definedName>
    <definedName name="JSE">BACKROOM2_TEB!$K$2:$K$12</definedName>
    <definedName name="Konami">BACKROOM2_TEB!$AA$19</definedName>
    <definedName name="LSE">BACKROOM2_TEB!$R$2:$R$12</definedName>
    <definedName name="Lukoil">BACKROOM2_TEB!$AG$19</definedName>
    <definedName name="MercedesBenz">BACKROOM2_TEB!$M$19</definedName>
    <definedName name="Microsoft">BACKROOM2_TEB!$S$19</definedName>
    <definedName name="MOEX">BACKROOM2_TEB!$O$2:$O$12</definedName>
    <definedName name="MTN_Group">BACKROOM2_TEB!$B$19</definedName>
    <definedName name="Nasdaq">BACKROOM2_TEB!$M$2:$M$12</definedName>
    <definedName name="Naspers">BACKROOM2_TEB!$A$19</definedName>
    <definedName name="Nissan">BACKROOM2_TEB!$Z$19</definedName>
    <definedName name="Oracle">BACKROOM2_TEB!$T$19</definedName>
    <definedName name="Petrobras">BACKROOM2_TEB!$AJ$19</definedName>
    <definedName name="RateList">TEB!$R$2:$R$51</definedName>
    <definedName name="Rosneft">BACKROOM2_TEB!$AF$19</definedName>
    <definedName name="Rostelecom">BACKROOM2_TEB!$AI$19</definedName>
    <definedName name="rus_countries">#REF!</definedName>
    <definedName name="Russia">BACKROOM2_TEB!$E$2:$E$12</definedName>
    <definedName name="Sanlam">BACKROOM2_TEB!$J$19</definedName>
    <definedName name="Sasol">BACKROOM2_TEB!$C$19</definedName>
    <definedName name="Sberbank">BACKROOM2_TEB!$AH$19</definedName>
    <definedName name="Shell">BACKROOM2_TEB!$AU$19</definedName>
    <definedName name="ShopriteHoldings">BACKROOM2_TEB!$D$19</definedName>
    <definedName name="Sony">BACKROOM2_TEB!$AD$19</definedName>
    <definedName name="SouthAfrica">BACKROOM2_TEB!$A$2:$A$12</definedName>
    <definedName name="SSE">BACKROOM2_TEB!$Q$2:$Q$12</definedName>
    <definedName name="StandardBankGroup">BACKROOM2_TEB!$G$19</definedName>
    <definedName name="Subaru">BACKROOM2_TEB!$AB$19</definedName>
    <definedName name="TencentHoldings">BACKROOM2_TEB!$AP$19</definedName>
    <definedName name="Toyota">BACKROOM2_TEB!$Y$19</definedName>
    <definedName name="TSE">BACKROOM2_TEB!$N$2:$N$12</definedName>
    <definedName name="UK">BACKROOM2_TEB!$H$2:$H$12</definedName>
    <definedName name="uk_countries">#REF!</definedName>
    <definedName name="USA">BACKROOM2_TEB!$C$2:$C$12</definedName>
    <definedName name="usa_countries">#REF!</definedName>
    <definedName name="Vale">BACKROOM2_TEB!$AM$19</definedName>
    <definedName name="Visa">BACKROOM2_TEB!$U$19</definedName>
    <definedName name="za_countri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 r="G24" i="1"/>
  <c r="K24" i="1"/>
  <c r="K23" i="1"/>
  <c r="P24" i="13"/>
  <c r="L14" i="13"/>
  <c r="AB10" i="11" s="1"/>
  <c r="J4" i="14"/>
  <c r="H4" i="14"/>
  <c r="AL16" i="11"/>
  <c r="J14" i="14"/>
  <c r="K38" i="1"/>
  <c r="BL29" i="11"/>
  <c r="BN29" i="11"/>
  <c r="BL30" i="11"/>
  <c r="BN30" i="11"/>
  <c r="BO37" i="11" s="1"/>
  <c r="BL31" i="11"/>
  <c r="BN31" i="11"/>
  <c r="BM37" i="11"/>
  <c r="BN37" i="11"/>
  <c r="BK39" i="11"/>
  <c r="BK14" i="11"/>
  <c r="BK13" i="11"/>
  <c r="BK12" i="11"/>
  <c r="BK9" i="11"/>
  <c r="BK8" i="11"/>
  <c r="BK5" i="11"/>
  <c r="AX8" i="11"/>
  <c r="AZ7" i="11"/>
  <c r="AY7" i="11"/>
  <c r="AX7" i="11"/>
  <c r="E25" i="1" s="1"/>
  <c r="E26" i="1" s="1"/>
  <c r="E24" i="1"/>
  <c r="M24" i="1"/>
  <c r="M25" i="1"/>
  <c r="M26" i="1" s="1"/>
  <c r="K25" i="1"/>
  <c r="K26" i="1" s="1"/>
  <c r="AM35" i="11"/>
  <c r="AK34" i="11"/>
  <c r="AN25" i="11"/>
  <c r="AL25" i="11"/>
  <c r="AL24" i="11"/>
  <c r="AN23" i="11"/>
  <c r="AL23" i="11"/>
  <c r="Q18" i="14"/>
  <c r="Q20" i="14" s="1"/>
  <c r="L5" i="13"/>
  <c r="L9" i="13" s="1"/>
  <c r="J5" i="13"/>
  <c r="Y24" i="11"/>
  <c r="Y20" i="11"/>
  <c r="AB11" i="11"/>
  <c r="Z11" i="11"/>
  <c r="Z10" i="11"/>
  <c r="AB9" i="11"/>
  <c r="Z9" i="11"/>
  <c r="V25" i="11"/>
  <c r="L28" i="11"/>
  <c r="M28" i="11"/>
  <c r="N28" i="11"/>
  <c r="O28" i="11"/>
  <c r="K19" i="11"/>
  <c r="K17" i="11"/>
  <c r="N8" i="11"/>
  <c r="L8" i="11"/>
  <c r="N7" i="11"/>
  <c r="L7" i="11"/>
  <c r="N6" i="11"/>
  <c r="L6" i="11"/>
  <c r="Z3" i="12"/>
  <c r="Z4" i="12"/>
  <c r="C5" i="12"/>
  <c r="E5" i="12"/>
  <c r="E9" i="12" s="1"/>
  <c r="Z5" i="12"/>
  <c r="Z6" i="12"/>
  <c r="Z7" i="12"/>
  <c r="AP15" i="12"/>
  <c r="K18" i="12"/>
  <c r="AP16" i="12"/>
  <c r="AP17" i="12"/>
  <c r="AP18" i="12"/>
  <c r="AP19" i="12"/>
  <c r="AP20" i="12"/>
  <c r="AP21" i="12"/>
  <c r="AP22" i="12"/>
  <c r="AP23" i="12"/>
  <c r="AP24" i="12"/>
  <c r="J8" i="14" l="1"/>
  <c r="N27" i="11"/>
  <c r="O24" i="11"/>
  <c r="O25" i="11"/>
  <c r="G26" i="1"/>
  <c r="BP34" i="11"/>
  <c r="BN35" i="11"/>
  <c r="BM12" i="11"/>
  <c r="N36" i="1" s="1"/>
  <c r="BL35" i="11"/>
  <c r="BN34" i="11"/>
  <c r="BM34" i="11"/>
  <c r="BN36" i="11"/>
  <c r="BO34" i="11"/>
  <c r="BL37" i="11"/>
  <c r="BM36" i="11"/>
  <c r="G41" i="1" s="1"/>
  <c r="J37" i="1" s="1"/>
  <c r="K37" i="1" s="1"/>
  <c r="BL36" i="11"/>
  <c r="BP37" i="11"/>
  <c r="BP35" i="11"/>
  <c r="BO38" i="11"/>
  <c r="BL38" i="11"/>
  <c r="BO35" i="11"/>
  <c r="BL34" i="11"/>
  <c r="BN38" i="11"/>
  <c r="BP36" i="11"/>
  <c r="BM35" i="11"/>
  <c r="BM38" i="11"/>
  <c r="BO36" i="11"/>
  <c r="AP31" i="11"/>
  <c r="AP30" i="11"/>
  <c r="AL31" i="11"/>
  <c r="AL28" i="11"/>
  <c r="AM31" i="11"/>
  <c r="AP29" i="11"/>
  <c r="AL30" i="11"/>
  <c r="AP28" i="11"/>
  <c r="AL29" i="11"/>
  <c r="Q19" i="14"/>
  <c r="AB14" i="11"/>
  <c r="AA14" i="11"/>
  <c r="AA17" i="11"/>
  <c r="Z16" i="11"/>
  <c r="AD16" i="11"/>
  <c r="AB17" i="11"/>
  <c r="AB18" i="11"/>
  <c r="AD17" i="11"/>
  <c r="AC18" i="11"/>
  <c r="AD15" i="11"/>
  <c r="AC17" i="11"/>
  <c r="AC14" i="11"/>
  <c r="AA16" i="11"/>
  <c r="AD14" i="11"/>
  <c r="AB16" i="11"/>
  <c r="Z18" i="11"/>
  <c r="Z15" i="11"/>
  <c r="AC16" i="11"/>
  <c r="AA18" i="11"/>
  <c r="AA15" i="11"/>
  <c r="AB15" i="11"/>
  <c r="Z17" i="11"/>
  <c r="Z14" i="11"/>
  <c r="AC15" i="11"/>
  <c r="L24" i="11"/>
  <c r="O27" i="11"/>
  <c r="O26" i="11"/>
  <c r="AS16" i="12"/>
  <c r="M27" i="11"/>
  <c r="N25" i="11"/>
  <c r="L27" i="11"/>
  <c r="M25" i="11"/>
  <c r="L25" i="11"/>
  <c r="N26" i="11"/>
  <c r="M26" i="11"/>
  <c r="N24" i="11"/>
  <c r="L26" i="11"/>
  <c r="M24" i="11"/>
  <c r="AS24" i="12"/>
  <c r="AS21" i="12"/>
  <c r="AS23" i="12"/>
  <c r="AS19" i="12"/>
  <c r="K17" i="12"/>
  <c r="M11" i="11"/>
  <c r="O15" i="11"/>
  <c r="N14" i="11"/>
  <c r="P14" i="11"/>
  <c r="P12" i="11"/>
  <c r="M14" i="11"/>
  <c r="N11" i="11"/>
  <c r="L13" i="11"/>
  <c r="O14" i="11"/>
  <c r="O11" i="11"/>
  <c r="M13" i="11"/>
  <c r="P11" i="11"/>
  <c r="N13" i="11"/>
  <c r="L15" i="11"/>
  <c r="L12" i="11"/>
  <c r="O13" i="11"/>
  <c r="M15" i="11"/>
  <c r="M12" i="11"/>
  <c r="P13" i="11"/>
  <c r="N15" i="11"/>
  <c r="N12" i="11"/>
  <c r="L14" i="11"/>
  <c r="L11" i="11"/>
  <c r="O12" i="11"/>
  <c r="E19" i="12"/>
  <c r="K20" i="11" s="1"/>
  <c r="AS22" i="12"/>
  <c r="AS20" i="12"/>
  <c r="AS15" i="12"/>
  <c r="AS18" i="12"/>
  <c r="AS17" i="12"/>
  <c r="L17" i="13" l="1"/>
  <c r="Z24" i="11" s="1"/>
  <c r="P27" i="11"/>
  <c r="P24" i="11"/>
  <c r="P26" i="11"/>
  <c r="P25" i="11"/>
  <c r="K16" i="12"/>
  <c r="U25" i="11" l="1"/>
  <c r="P27" i="13" s="1"/>
  <c r="U26" i="11"/>
  <c r="V28" i="11" s="1"/>
  <c r="P26" i="13" s="1"/>
  <c r="U13" i="11"/>
  <c r="R27" i="13" s="1"/>
  <c r="U12" i="11"/>
  <c r="R26" i="13" s="1"/>
  <c r="R28" i="13"/>
  <c r="P31" i="13"/>
  <c r="R24" i="13"/>
  <c r="R25" i="13"/>
  <c r="R31" i="13"/>
  <c r="P29" i="13"/>
  <c r="W9" i="11" s="1"/>
  <c r="R30" i="13"/>
  <c r="P28" i="13"/>
  <c r="R29" i="13"/>
  <c r="P25" i="13"/>
  <c r="P30" i="13"/>
  <c r="A13" i="11"/>
  <c r="D5" i="11"/>
  <c r="B5" i="11"/>
  <c r="D4" i="11"/>
  <c r="B4" i="11"/>
  <c r="D3" i="11"/>
  <c r="B3" i="11"/>
  <c r="F9" i="11" l="1"/>
  <c r="C8" i="11"/>
  <c r="F11" i="11"/>
  <c r="C11" i="11"/>
  <c r="D11" i="11"/>
  <c r="E12" i="11"/>
  <c r="B10" i="11"/>
  <c r="C10" i="11"/>
  <c r="F8" i="11"/>
  <c r="D10" i="11"/>
  <c r="B12" i="11"/>
  <c r="E8" i="11"/>
  <c r="B9" i="11"/>
  <c r="E10" i="11"/>
  <c r="C12" i="11"/>
  <c r="C9" i="11"/>
  <c r="F10" i="11"/>
  <c r="D12" i="11"/>
  <c r="D8" i="11"/>
  <c r="E11" i="11"/>
  <c r="D9" i="11"/>
  <c r="B11" i="11"/>
  <c r="B8" i="11"/>
  <c r="E9" i="11"/>
  <c r="O17" i="10"/>
  <c r="C30" i="8" l="1"/>
  <c r="C32" i="8"/>
  <c r="C35" i="8"/>
  <c r="C34" i="8"/>
  <c r="C33" i="8"/>
  <c r="C31" i="8"/>
  <c r="C29" i="8"/>
  <c r="C28" i="8"/>
  <c r="B23" i="8" l="1" a="1"/>
  <c r="B23" i="8" s="1"/>
  <c r="I8" i="6"/>
  <c r="I18" i="6"/>
  <c r="G23" i="1"/>
  <c r="M23" i="1"/>
  <c r="E23" i="1"/>
  <c r="I9" i="6" l="1"/>
  <c r="I19" i="6"/>
  <c r="I26" i="6" s="1"/>
  <c r="BK17" i="11" l="1"/>
  <c r="BK7" i="11"/>
  <c r="BM5" i="11" s="1"/>
  <c r="N39" i="1" s="1"/>
  <c r="BK19" i="11" l="1"/>
  <c r="N38" i="1" s="1"/>
  <c r="BK18" i="11"/>
  <c r="N37" i="1" s="1"/>
  <c r="BK20" i="11" l="1"/>
  <c r="N40" i="1" s="1"/>
  <c r="R20" i="14"/>
  <c r="U36" i="14"/>
  <c r="P36" i="14"/>
  <c r="AM38" i="11"/>
  <c r="R19" i="14"/>
  <c r="AN24" i="11"/>
  <c r="AN28" i="11" s="1"/>
  <c r="R18" i="14"/>
  <c r="AM42" i="11" s="1"/>
  <c r="AM32" i="11" l="1"/>
  <c r="AO32" i="11"/>
  <c r="AN31" i="11"/>
  <c r="AN30" i="11"/>
  <c r="AM28" i="11"/>
  <c r="AN32" i="11"/>
  <c r="AN29" i="11"/>
  <c r="AO31" i="11"/>
  <c r="AM29" i="11"/>
  <c r="AN42" i="11"/>
  <c r="AO28" i="11"/>
  <c r="AO29" i="11"/>
  <c r="AL32" i="11"/>
  <c r="AM30" i="11"/>
  <c r="AO30" i="11"/>
  <c r="J17" i="14" l="1"/>
  <c r="AL15" i="11" s="1" a="1"/>
  <c r="AL15" i="11" s="1"/>
  <c r="AN40" i="11" l="1"/>
  <c r="AN41" i="11" s="1"/>
  <c r="U32" i="14"/>
  <c r="U33" i="14" s="1"/>
  <c r="P32" i="14"/>
  <c r="P33" i="14" s="1"/>
  <c r="P37" i="14" s="1"/>
  <c r="U27" i="14"/>
  <c r="AQ19" i="11"/>
  <c r="P30" i="14" s="1"/>
  <c r="P31" i="14" s="1"/>
  <c r="P29" i="14"/>
  <c r="U28" i="14"/>
  <c r="AM39" i="11"/>
  <c r="U29" i="14"/>
  <c r="U30" i="14" s="1"/>
  <c r="U31" i="14" s="1"/>
  <c r="P28" i="14"/>
  <c r="AM40" i="11"/>
  <c r="AM41" i="11" s="1"/>
  <c r="P27" i="14"/>
  <c r="AN43" i="11" l="1"/>
  <c r="AN44" i="11" s="1"/>
  <c r="P35" i="14"/>
  <c r="AM43" i="11"/>
  <c r="AM44" i="11" s="1"/>
  <c r="P34" i="14"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1"/>
        </ext>
      </extLst>
    </bk>
  </futureMetadata>
  <cellMetadata count="1">
    <bk>
      <rc t="1" v="0"/>
    </bk>
  </cellMetadata>
  <valueMetadata count="1">
    <bk>
      <rc t="2" v="0"/>
    </bk>
  </valueMetadata>
</metadata>
</file>

<file path=xl/sharedStrings.xml><?xml version="1.0" encoding="utf-8"?>
<sst xmlns="http://schemas.openxmlformats.org/spreadsheetml/2006/main" count="728" uniqueCount="259">
  <si>
    <t>GIVEN</t>
  </si>
  <si>
    <t>INTEREST</t>
  </si>
  <si>
    <t>PAYMENT</t>
  </si>
  <si>
    <t>N(YEARS)</t>
  </si>
  <si>
    <t>K(LEVEL)</t>
  </si>
  <si>
    <t>M</t>
  </si>
  <si>
    <t>j(inflation)</t>
  </si>
  <si>
    <t>PV</t>
  </si>
  <si>
    <t>FV</t>
  </si>
  <si>
    <t>x</t>
  </si>
  <si>
    <t>fv</t>
  </si>
  <si>
    <t>pv</t>
  </si>
  <si>
    <t>part 1</t>
  </si>
  <si>
    <t>part 2</t>
  </si>
  <si>
    <t>part 3</t>
  </si>
  <si>
    <t>ARREARS</t>
  </si>
  <si>
    <t>ADVANCE</t>
  </si>
  <si>
    <t>inflation rate(j)</t>
  </si>
  <si>
    <t>years to inflate</t>
  </si>
  <si>
    <t>the accumulated amount</t>
  </si>
  <si>
    <t>amount to adjust</t>
  </si>
  <si>
    <t>p</t>
  </si>
  <si>
    <t>The value of the first payment</t>
  </si>
  <si>
    <t>n</t>
  </si>
  <si>
    <t>i</t>
  </si>
  <si>
    <t>Single investments</t>
  </si>
  <si>
    <t>m</t>
  </si>
  <si>
    <t>k</t>
  </si>
  <si>
    <t>pv of withdrawal</t>
  </si>
  <si>
    <t>fv of withdrawal</t>
  </si>
  <si>
    <t>solving for a part of x</t>
  </si>
  <si>
    <t>Single investment</t>
  </si>
  <si>
    <t>Interest Rate (i)</t>
  </si>
  <si>
    <t>Inflation Rate (j)</t>
  </si>
  <si>
    <t>Period (p)</t>
  </si>
  <si>
    <t>Years (n)</t>
  </si>
  <si>
    <t xml:space="preserve">GIVEN </t>
  </si>
  <si>
    <t>Investment info</t>
  </si>
  <si>
    <t>Withdrawal info</t>
  </si>
  <si>
    <t>OUTPUT</t>
  </si>
  <si>
    <t xml:space="preserve">The value of the first withdrawals </t>
  </si>
  <si>
    <t>The future value of the withdrawals</t>
  </si>
  <si>
    <t xml:space="preserve">The present value of the withdrawals </t>
  </si>
  <si>
    <t xml:space="preserve">The future value of the initial investment </t>
  </si>
  <si>
    <t>INPUTS</t>
  </si>
  <si>
    <t>Accumulated amount with j</t>
  </si>
  <si>
    <t>P(PERIOD)</t>
  </si>
  <si>
    <t>From</t>
  </si>
  <si>
    <t>To</t>
  </si>
  <si>
    <t>Interest (i)</t>
  </si>
  <si>
    <t>Interest</t>
  </si>
  <si>
    <t>periods (p)</t>
  </si>
  <si>
    <t>Period</t>
  </si>
  <si>
    <t>years (n)</t>
  </si>
  <si>
    <t>Type</t>
  </si>
  <si>
    <t>nominal</t>
  </si>
  <si>
    <t>Effective periodic</t>
  </si>
  <si>
    <t>Years</t>
  </si>
  <si>
    <t>Grid</t>
  </si>
  <si>
    <t>Effective annual</t>
  </si>
  <si>
    <t>Nominal</t>
  </si>
  <si>
    <t>Simple</t>
  </si>
  <si>
    <t>continous</t>
  </si>
  <si>
    <t>effective annual</t>
  </si>
  <si>
    <t>Converted Rate</t>
  </si>
  <si>
    <t>effective periodic</t>
  </si>
  <si>
    <t>simple</t>
  </si>
  <si>
    <t>COMPANY</t>
  </si>
  <si>
    <t>COUNTRY</t>
  </si>
  <si>
    <t>Apple</t>
  </si>
  <si>
    <t>Toyota</t>
  </si>
  <si>
    <t>USA</t>
  </si>
  <si>
    <t>Nasdaq</t>
  </si>
  <si>
    <t>Amazon</t>
  </si>
  <si>
    <t>Microsoft</t>
  </si>
  <si>
    <t>Facebook</t>
  </si>
  <si>
    <t>Google</t>
  </si>
  <si>
    <t>Intel</t>
  </si>
  <si>
    <t>Visa</t>
  </si>
  <si>
    <t>Oracle</t>
  </si>
  <si>
    <t>BMW</t>
  </si>
  <si>
    <t>Dell</t>
  </si>
  <si>
    <t>HP</t>
  </si>
  <si>
    <t>Germany</t>
  </si>
  <si>
    <t>Gazprom</t>
  </si>
  <si>
    <t>Rosneft</t>
  </si>
  <si>
    <t>Lukoil</t>
  </si>
  <si>
    <t>Sberbank</t>
  </si>
  <si>
    <t>Rostelecom</t>
  </si>
  <si>
    <t>Petrobras</t>
  </si>
  <si>
    <t>Vale</t>
  </si>
  <si>
    <t>JBS</t>
  </si>
  <si>
    <t>Huawei</t>
  </si>
  <si>
    <t>BP</t>
  </si>
  <si>
    <t>GlaxoSmithKline</t>
  </si>
  <si>
    <t>Russia</t>
  </si>
  <si>
    <t>Brazil</t>
  </si>
  <si>
    <t>China</t>
  </si>
  <si>
    <t>UK</t>
  </si>
  <si>
    <t>MOEX</t>
  </si>
  <si>
    <t>SSE</t>
  </si>
  <si>
    <t>LSE</t>
  </si>
  <si>
    <t>JSE</t>
  </si>
  <si>
    <t>FSE</t>
  </si>
  <si>
    <t>Naspers</t>
  </si>
  <si>
    <t>MTN Group</t>
  </si>
  <si>
    <t>Sasol</t>
  </si>
  <si>
    <t>Absa Group Limited</t>
  </si>
  <si>
    <t>Sanlam</t>
  </si>
  <si>
    <t>Nissan</t>
  </si>
  <si>
    <t>TSE</t>
  </si>
  <si>
    <t>Japan</t>
  </si>
  <si>
    <t>Konami</t>
  </si>
  <si>
    <t>Subaru</t>
  </si>
  <si>
    <t>Honda</t>
  </si>
  <si>
    <t>Sony</t>
  </si>
  <si>
    <t>SouthAfrica</t>
  </si>
  <si>
    <t>Company</t>
  </si>
  <si>
    <t>Rate</t>
  </si>
  <si>
    <t>Country</t>
  </si>
  <si>
    <t>BM</t>
  </si>
  <si>
    <t>ShopriteHoldings</t>
  </si>
  <si>
    <t>AngloAmerican</t>
  </si>
  <si>
    <t>DiscoveryLimited</t>
  </si>
  <si>
    <t>StandardBankGroup</t>
  </si>
  <si>
    <t>FirstRandLimited</t>
  </si>
  <si>
    <t>EskomHoldings</t>
  </si>
  <si>
    <t>MercedesBenz</t>
  </si>
  <si>
    <t>CiscoSystems</t>
  </si>
  <si>
    <t>BancodoBrasil</t>
  </si>
  <si>
    <t>ItaúUnibanco</t>
  </si>
  <si>
    <t>AlibabaGroup</t>
  </si>
  <si>
    <t>TencentHoldings</t>
  </si>
  <si>
    <t>ChinaConstructionBank</t>
  </si>
  <si>
    <t>Industrial&amp;CommercialBankofChina</t>
  </si>
  <si>
    <t>HSBCHoldings</t>
  </si>
  <si>
    <t>Shell</t>
  </si>
  <si>
    <t>BritishAmericanTobacco</t>
  </si>
  <si>
    <t>EXCHANGEMARKET</t>
  </si>
  <si>
    <t>ExchangeMarket</t>
  </si>
  <si>
    <t>RATE/share</t>
  </si>
  <si>
    <t>Total Cost:</t>
  </si>
  <si>
    <t>Equivalent Cost ®</t>
  </si>
  <si>
    <t>AVERAGE ANNUAL INTEREST RATE (&gt;15yrs)</t>
  </si>
  <si>
    <t>INTEREST RATE</t>
  </si>
  <si>
    <t>CURRENT USD/ZAR EXCHANGE RATE</t>
  </si>
  <si>
    <t>20-25%</t>
  </si>
  <si>
    <t>20-23%</t>
  </si>
  <si>
    <t>15-20%</t>
  </si>
  <si>
    <t>10-15%</t>
  </si>
  <si>
    <t>0-2%</t>
  </si>
  <si>
    <t>7-10%</t>
  </si>
  <si>
    <t>n(number of years)</t>
  </si>
  <si>
    <t>Based on Country</t>
  </si>
  <si>
    <t>Purchase amount:</t>
  </si>
  <si>
    <t>Equivalent Cost ®:</t>
  </si>
  <si>
    <t>Based on Exchange Market</t>
  </si>
  <si>
    <t>Purchase Amount:</t>
  </si>
  <si>
    <t>Value of share after n years</t>
  </si>
  <si>
    <t>INTEREST CONVERTER</t>
  </si>
  <si>
    <t>CONVERTED RAATE</t>
  </si>
  <si>
    <t xml:space="preserve">INPUT </t>
  </si>
  <si>
    <t>NUMBER OF YEARS</t>
  </si>
  <si>
    <t>FUTURE VALUE</t>
  </si>
  <si>
    <t>DATE(START):</t>
  </si>
  <si>
    <t>DATE(END):</t>
  </si>
  <si>
    <t>PRESENT VALUE</t>
  </si>
  <si>
    <t>i(p)/p</t>
  </si>
  <si>
    <t>MONTH:</t>
  </si>
  <si>
    <t>N</t>
  </si>
  <si>
    <t>YEAR:</t>
  </si>
  <si>
    <t>YEARS</t>
  </si>
  <si>
    <t>P</t>
  </si>
  <si>
    <t>DAY:</t>
  </si>
  <si>
    <t>PERIODS</t>
  </si>
  <si>
    <t>YEARS(GIVEN)</t>
  </si>
  <si>
    <t>RATE</t>
  </si>
  <si>
    <t>TYPE</t>
  </si>
  <si>
    <t>CONTINOUS</t>
  </si>
  <si>
    <t xml:space="preserve">Coumpound </t>
  </si>
  <si>
    <t xml:space="preserve">Simple </t>
  </si>
  <si>
    <t>ANSWER:</t>
  </si>
  <si>
    <t xml:space="preserve">Period </t>
  </si>
  <si>
    <t xml:space="preserve">Future Value </t>
  </si>
  <si>
    <t>PERIOD VALUE:</t>
  </si>
  <si>
    <t>RATE (%):</t>
  </si>
  <si>
    <t>INTEREST TYPE</t>
  </si>
  <si>
    <t xml:space="preserve">PRESENT VALUE </t>
  </si>
  <si>
    <t>INTEREST EARNED</t>
  </si>
  <si>
    <t>Input</t>
  </si>
  <si>
    <t xml:space="preserve">SIMPLE </t>
  </si>
  <si>
    <t>EFFECTIVE PERIODIC</t>
  </si>
  <si>
    <t>EFFECTIVE ANNUAL</t>
  </si>
  <si>
    <t xml:space="preserve">NOMINAL </t>
  </si>
  <si>
    <t>TYPE OF OUTCOME</t>
  </si>
  <si>
    <t>SINGLE INVESTMENTS</t>
  </si>
  <si>
    <t>Column4</t>
  </si>
  <si>
    <t>Column3</t>
  </si>
  <si>
    <t>Column2</t>
  </si>
  <si>
    <t xml:space="preserve"> </t>
  </si>
  <si>
    <t xml:space="preserve">     </t>
  </si>
  <si>
    <t>INTEREST(PV)</t>
  </si>
  <si>
    <t>INTEREST(FV)</t>
  </si>
  <si>
    <t>INSTALLMENT(PV):</t>
  </si>
  <si>
    <t>INSTALLMENT(PV)</t>
  </si>
  <si>
    <t>FUTURE VALUE:</t>
  </si>
  <si>
    <t>INSTALLMENT(FV):</t>
  </si>
  <si>
    <t>INSTALLMENT(FV)</t>
  </si>
  <si>
    <t>PRESENT VALUE:</t>
  </si>
  <si>
    <t>NUMBER OF YEARS(PV):</t>
  </si>
  <si>
    <t>YEARS(PV)</t>
  </si>
  <si>
    <t>NUMBER OF YEARS(FV):</t>
  </si>
  <si>
    <t>YEARS(FV)</t>
  </si>
  <si>
    <t>NUMBER OF YEARS:</t>
  </si>
  <si>
    <t>INTEREST RATE:</t>
  </si>
  <si>
    <t xml:space="preserve">FUTURE VALUE </t>
  </si>
  <si>
    <t>INSTALLMENT:</t>
  </si>
  <si>
    <t>OUTPUT IN ADVANCE</t>
  </si>
  <si>
    <t>OUTPUT IN ARREARS</t>
  </si>
  <si>
    <t>Given</t>
  </si>
  <si>
    <t>INTEREST WITH NO CONVERSION</t>
  </si>
  <si>
    <t>CONVERSIONS</t>
  </si>
  <si>
    <t>IN ADVANCE</t>
  </si>
  <si>
    <t>Loan Amount:</t>
  </si>
  <si>
    <t>Installment</t>
  </si>
  <si>
    <t>Installment:</t>
  </si>
  <si>
    <t>Loan amount</t>
  </si>
  <si>
    <t>Loan Amount</t>
  </si>
  <si>
    <t>Number of Years:</t>
  </si>
  <si>
    <t>Balance Immediately after T</t>
  </si>
  <si>
    <t>Interest:</t>
  </si>
  <si>
    <t>Interest Comp of payment  (T+1)</t>
  </si>
  <si>
    <t>Capital  Comp of payment (T+1)</t>
  </si>
  <si>
    <t>Number of payments needed</t>
  </si>
  <si>
    <t>T</t>
  </si>
  <si>
    <t>Value of Last Payment</t>
  </si>
  <si>
    <t>T+1</t>
  </si>
  <si>
    <t>Capital paid during a certain period(T)</t>
  </si>
  <si>
    <t>T-1</t>
  </si>
  <si>
    <t>Interest paid during certain period(T)</t>
  </si>
  <si>
    <t>Total Interest Paid</t>
  </si>
  <si>
    <t>Balance after T+1</t>
  </si>
  <si>
    <t>NI-X</t>
  </si>
  <si>
    <t>INSTALLMENT (GIVEN FV)</t>
  </si>
  <si>
    <t>INSTALLMENT (GIVEN PV)</t>
  </si>
  <si>
    <t>INSTALLMENT(GIVEN FV)</t>
  </si>
  <si>
    <t>INSTALLMENT(GIVEN PV)</t>
  </si>
  <si>
    <t>ANNUITIES</t>
  </si>
  <si>
    <t>LOANS</t>
  </si>
  <si>
    <t>INCREASING ANNUITIES</t>
  </si>
  <si>
    <t>EVERY NEXT PAYMENT INCREASING</t>
  </si>
  <si>
    <t>EVERY K'th PAYMENT INCREASING</t>
  </si>
  <si>
    <t>DETERMINING THE RELATIONSHIP BETWEEN  INVESTMENTS AND WITHDRAWELS</t>
  </si>
  <si>
    <t>During Period:</t>
  </si>
  <si>
    <t>Period):</t>
  </si>
  <si>
    <t>FROM</t>
  </si>
  <si>
    <t>TO</t>
  </si>
  <si>
    <t>INTEREST WITH NO CONVERSION:</t>
  </si>
  <si>
    <t>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</si>
</sst>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R&quot;* #,##0.00_-;\-&quot;R&quot;* #,##0.00_-;_-&quot;R&quot;* &quot;-&quot;??_-;_-@_-"/>
    <numFmt numFmtId="164" formatCode="_(&quot;$&quot;* #,##0.00_);_(&quot;$&quot;* \(#,##0.00\);_(&quot;$&quot;* &quot;-&quot;??_);_(@_)"/>
    <numFmt numFmtId="165" formatCode="0.000%"/>
    <numFmt numFmtId="166" formatCode="_-[$R-1C09]* #,##0.00_-;\-[$R-1C09]* #,##0.00_-;_-[$R-1C09]* &quot;-&quot;??_-;_-@_-"/>
    <numFmt numFmtId="167" formatCode="0.0000%"/>
    <numFmt numFmtId="168" formatCode="&quot;R&quot;#,##0.00"/>
    <numFmt numFmtId="169" formatCode="_-[$$-409]* #,##0.00_ ;_-[$$-409]* \-#,##0.00\ ;_-[$$-409]* &quot;-&quot;??_ ;_-@_ "/>
    <numFmt numFmtId="170" formatCode="0.000000000%"/>
    <numFmt numFmtId="171" formatCode="0.0"/>
    <numFmt numFmtId="172" formatCode="_-&quot;R&quot;* #,##0.0000_-;\-&quot;R&quot;* #,##0.0000_-;_-&quot;R&quot;* &quot;-&quot;????_-;_-@_-"/>
  </numFmts>
  <fonts count="30" x14ac:knownFonts="1">
    <font>
      <sz val="11"/>
      <color theme="1"/>
      <name val="Aptos Narrow"/>
      <family val="2"/>
      <scheme val="minor"/>
    </font>
    <font>
      <sz val="11"/>
      <color theme="1"/>
      <name val="Aptos Narrow"/>
      <family val="2"/>
      <scheme val="minor"/>
    </font>
    <font>
      <sz val="11"/>
      <color theme="0"/>
      <name val="Agency FB"/>
      <family val="2"/>
    </font>
    <font>
      <b/>
      <i/>
      <sz val="12"/>
      <color theme="0"/>
      <name val="Agency FB"/>
      <family val="2"/>
    </font>
    <font>
      <sz val="11"/>
      <name val="Agency FB"/>
      <family val="2"/>
    </font>
    <font>
      <b/>
      <sz val="15"/>
      <color theme="3"/>
      <name val="Aptos Narrow"/>
      <family val="2"/>
      <scheme val="minor"/>
    </font>
    <font>
      <b/>
      <sz val="11"/>
      <color theme="0"/>
      <name val="Aptos Narrow"/>
      <family val="2"/>
      <scheme val="minor"/>
    </font>
    <font>
      <sz val="11"/>
      <color theme="0"/>
      <name val="Aptos Narrow"/>
      <family val="2"/>
      <scheme val="minor"/>
    </font>
    <font>
      <sz val="11"/>
      <name val="Aptos Narrow"/>
      <family val="2"/>
      <scheme val="minor"/>
    </font>
    <font>
      <b/>
      <sz val="15"/>
      <name val="Aptos Narrow"/>
      <family val="2"/>
      <scheme val="minor"/>
    </font>
    <font>
      <sz val="9.6"/>
      <color rgb="FF374151"/>
      <name val="Arial"/>
      <family val="2"/>
    </font>
    <font>
      <sz val="8"/>
      <name val="Aptos Narrow"/>
      <family val="2"/>
      <scheme val="minor"/>
    </font>
    <font>
      <sz val="11"/>
      <color theme="1"/>
      <name val="Agency FB"/>
      <family val="2"/>
    </font>
    <font>
      <b/>
      <sz val="11"/>
      <name val="Aptos Narrow"/>
      <family val="2"/>
      <scheme val="minor"/>
    </font>
    <font>
      <b/>
      <sz val="11"/>
      <color theme="1"/>
      <name val="Agency FB"/>
      <family val="2"/>
    </font>
    <font>
      <b/>
      <sz val="16"/>
      <name val="Agency FB"/>
      <family val="2"/>
    </font>
    <font>
      <b/>
      <sz val="12"/>
      <name val="Agency FB"/>
      <family val="2"/>
    </font>
    <font>
      <b/>
      <sz val="11"/>
      <name val="Agency FB"/>
      <family val="2"/>
    </font>
    <font>
      <b/>
      <sz val="14"/>
      <name val="Agency FB"/>
      <family val="2"/>
    </font>
    <font>
      <b/>
      <sz val="15"/>
      <name val="Agency FB"/>
      <family val="2"/>
    </font>
    <font>
      <sz val="12"/>
      <name val="Agency FB"/>
      <family val="2"/>
    </font>
    <font>
      <b/>
      <sz val="11"/>
      <color theme="0"/>
      <name val="Agency FB"/>
      <family val="2"/>
    </font>
    <font>
      <b/>
      <sz val="15"/>
      <color theme="0"/>
      <name val="Agency FB"/>
      <family val="2"/>
    </font>
    <font>
      <b/>
      <u/>
      <sz val="11"/>
      <name val="Aptos Narrow"/>
      <family val="2"/>
      <scheme val="minor"/>
    </font>
    <font>
      <b/>
      <u/>
      <sz val="16"/>
      <name val="Aptos Narrow"/>
      <family val="2"/>
      <scheme val="minor"/>
    </font>
    <font>
      <b/>
      <sz val="20"/>
      <name val="Aptos Narrow"/>
      <family val="2"/>
      <scheme val="minor"/>
    </font>
    <font>
      <b/>
      <sz val="12"/>
      <name val="Aptos Narrow"/>
      <family val="2"/>
      <scheme val="minor"/>
    </font>
    <font>
      <sz val="14"/>
      <name val="Agency FB"/>
      <family val="2"/>
    </font>
    <font>
      <b/>
      <u/>
      <sz val="14"/>
      <name val="Agency FB"/>
      <family val="2"/>
    </font>
    <font>
      <b/>
      <u/>
      <sz val="16"/>
      <name val="Agency FB"/>
      <family val="2"/>
    </font>
  </fonts>
  <fills count="21">
    <fill>
      <patternFill patternType="none"/>
    </fill>
    <fill>
      <patternFill patternType="gray125"/>
    </fill>
    <fill>
      <patternFill patternType="solid">
        <fgColor theme="6" tint="-0.249977111117893"/>
        <bgColor indexed="64"/>
      </patternFill>
    </fill>
    <fill>
      <patternFill patternType="solid">
        <fgColor theme="5" tint="-0.249977111117893"/>
        <bgColor indexed="64"/>
      </patternFill>
    </fill>
    <fill>
      <patternFill patternType="solid">
        <fgColor theme="8" tint="0.59999389629810485"/>
        <bgColor indexed="65"/>
      </patternFill>
    </fill>
    <fill>
      <patternFill patternType="solid">
        <fgColor theme="5" tint="-0.499984740745262"/>
        <bgColor indexed="64"/>
      </patternFill>
    </fill>
    <fill>
      <patternFill patternType="solid">
        <fgColor theme="5" tint="0.79998168889431442"/>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8" tint="0.39997558519241921"/>
        <bgColor indexed="64"/>
      </patternFill>
    </fill>
    <fill>
      <patternFill patternType="solid">
        <fgColor theme="5" tint="-0.249977111117893"/>
        <bgColor theme="4" tint="0.59999389629810485"/>
      </patternFill>
    </fill>
    <fill>
      <patternFill patternType="solid">
        <fgColor theme="5" tint="-0.249977111117893"/>
        <bgColor theme="4" tint="0.79998168889431442"/>
      </patternFill>
    </fill>
    <fill>
      <patternFill patternType="solid">
        <fgColor theme="8" tint="-0.499984740745262"/>
        <bgColor indexed="64"/>
      </patternFill>
    </fill>
    <fill>
      <patternFill patternType="solid">
        <fgColor theme="0" tint="-0.34998626667073579"/>
        <bgColor indexed="64"/>
      </patternFill>
    </fill>
    <fill>
      <patternFill patternType="solid">
        <fgColor rgb="FF00B050"/>
        <bgColor indexed="64"/>
      </patternFill>
    </fill>
    <fill>
      <patternFill patternType="solid">
        <fgColor theme="8" tint="-0.249977111117893"/>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theme="6" tint="0.79998168889431442"/>
        <bgColor theme="4" tint="0.59999389629810485"/>
      </patternFill>
    </fill>
    <fill>
      <patternFill patternType="solid">
        <fgColor theme="6" tint="0.79998168889431442"/>
        <bgColor theme="4" tint="0.79998168889431442"/>
      </patternFill>
    </fill>
    <fill>
      <patternFill patternType="solid">
        <fgColor theme="8" tint="0.79998168889431442"/>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theme="4"/>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right/>
      <top style="medium">
        <color theme="0"/>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theme="4" tint="0.39997558519241921"/>
      </right>
      <top style="medium">
        <color indexed="64"/>
      </top>
      <bottom style="medium">
        <color indexed="64"/>
      </bottom>
      <diagonal/>
    </border>
    <border>
      <left style="thin">
        <color theme="4" tint="0.39997558519241921"/>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bottom style="thin">
        <color indexed="64"/>
      </bottom>
      <diagonal/>
    </border>
  </borders>
  <cellStyleXfs count="6">
    <xf numFmtId="0" fontId="0" fillId="0" borderId="0"/>
    <xf numFmtId="9" fontId="1" fillId="0" borderId="0" applyFont="0" applyFill="0" applyBorder="0" applyAlignment="0" applyProtection="0"/>
    <xf numFmtId="164" fontId="1" fillId="0" borderId="0" applyFont="0" applyFill="0" applyBorder="0" applyAlignment="0" applyProtection="0"/>
    <xf numFmtId="0" fontId="5" fillId="0" borderId="12" applyNumberFormat="0" applyFill="0" applyAlignment="0" applyProtection="0"/>
    <xf numFmtId="0" fontId="1" fillId="4" borderId="0" applyNumberFormat="0" applyBorder="0" applyAlignment="0" applyProtection="0"/>
    <xf numFmtId="44" fontId="1" fillId="0" borderId="0" applyFont="0" applyFill="0" applyBorder="0" applyAlignment="0" applyProtection="0"/>
  </cellStyleXfs>
  <cellXfs count="386">
    <xf numFmtId="0" fontId="0" fillId="0" borderId="0" xfId="0"/>
    <xf numFmtId="0" fontId="2" fillId="0" borderId="0" xfId="0" applyFont="1"/>
    <xf numFmtId="0" fontId="4" fillId="0" borderId="0" xfId="0" applyFont="1"/>
    <xf numFmtId="0" fontId="4" fillId="3" borderId="0" xfId="0" applyFont="1" applyFill="1"/>
    <xf numFmtId="9" fontId="4" fillId="0" borderId="0" xfId="1" applyFont="1" applyFill="1" applyBorder="1" applyAlignment="1"/>
    <xf numFmtId="0" fontId="7" fillId="0" borderId="0" xfId="0" applyFont="1"/>
    <xf numFmtId="0" fontId="8" fillId="6" borderId="0" xfId="0" applyFont="1" applyFill="1"/>
    <xf numFmtId="0" fontId="6" fillId="5" borderId="0" xfId="0" applyFont="1" applyFill="1"/>
    <xf numFmtId="10" fontId="8" fillId="6" borderId="0" xfId="1" applyNumberFormat="1" applyFont="1" applyFill="1" applyProtection="1"/>
    <xf numFmtId="10" fontId="8" fillId="6" borderId="0" xfId="1" applyNumberFormat="1" applyFont="1" applyFill="1"/>
    <xf numFmtId="0" fontId="0" fillId="7" borderId="16" xfId="0" applyFill="1" applyBorder="1"/>
    <xf numFmtId="0" fontId="0" fillId="7" borderId="17" xfId="0" applyFill="1" applyBorder="1"/>
    <xf numFmtId="0" fontId="0" fillId="0" borderId="16" xfId="0" applyBorder="1"/>
    <xf numFmtId="0" fontId="0" fillId="0" borderId="17" xfId="0" applyBorder="1"/>
    <xf numFmtId="0" fontId="0" fillId="7" borderId="18" xfId="0" applyFill="1" applyBorder="1"/>
    <xf numFmtId="0" fontId="0" fillId="0" borderId="18" xfId="0" applyBorder="1"/>
    <xf numFmtId="169" fontId="0" fillId="0" borderId="0" xfId="0" applyNumberFormat="1"/>
    <xf numFmtId="169" fontId="10" fillId="0" borderId="0" xfId="0" applyNumberFormat="1" applyFont="1" applyAlignment="1">
      <alignment vertical="center" wrapText="1"/>
    </xf>
    <xf numFmtId="166" fontId="0" fillId="0" borderId="0" xfId="0" applyNumberFormat="1"/>
    <xf numFmtId="0" fontId="0" fillId="8" borderId="0" xfId="0" applyFill="1"/>
    <xf numFmtId="169" fontId="0" fillId="8" borderId="0" xfId="0" applyNumberFormat="1" applyFill="1"/>
    <xf numFmtId="169" fontId="10" fillId="8" borderId="0" xfId="0" applyNumberFormat="1" applyFont="1" applyFill="1" applyAlignment="1">
      <alignment vertical="center" wrapText="1"/>
    </xf>
    <xf numFmtId="9" fontId="0" fillId="0" borderId="0" xfId="1" applyFont="1"/>
    <xf numFmtId="10" fontId="0" fillId="0" borderId="0" xfId="1" applyNumberFormat="1" applyFont="1"/>
    <xf numFmtId="0" fontId="0" fillId="3" borderId="0" xfId="0" applyFill="1"/>
    <xf numFmtId="0" fontId="0" fillId="0" borderId="19" xfId="0" applyBorder="1"/>
    <xf numFmtId="169" fontId="0" fillId="0" borderId="20" xfId="0" applyNumberFormat="1" applyBorder="1"/>
    <xf numFmtId="0" fontId="0" fillId="0" borderId="22" xfId="0" applyBorder="1"/>
    <xf numFmtId="0" fontId="0" fillId="0" borderId="23" xfId="0" applyBorder="1"/>
    <xf numFmtId="169" fontId="0" fillId="0" borderId="24" xfId="0" applyNumberFormat="1" applyBorder="1"/>
    <xf numFmtId="0" fontId="0" fillId="0" borderId="6" xfId="0" applyBorder="1"/>
    <xf numFmtId="0" fontId="0" fillId="0" borderId="5" xfId="0" applyBorder="1"/>
    <xf numFmtId="0" fontId="0" fillId="0" borderId="24" xfId="0" applyBorder="1"/>
    <xf numFmtId="169" fontId="0" fillId="0" borderId="5" xfId="0" applyNumberFormat="1" applyBorder="1"/>
    <xf numFmtId="0" fontId="0" fillId="3" borderId="9" xfId="0" applyFill="1" applyBorder="1"/>
    <xf numFmtId="0" fontId="0" fillId="3" borderId="8" xfId="0" applyFill="1" applyBorder="1"/>
    <xf numFmtId="0" fontId="0" fillId="3" borderId="7" xfId="0" applyFill="1" applyBorder="1"/>
    <xf numFmtId="166" fontId="0" fillId="9" borderId="21" xfId="0" applyNumberFormat="1" applyFill="1" applyBorder="1"/>
    <xf numFmtId="0" fontId="7" fillId="12" borderId="0" xfId="0" applyFont="1" applyFill="1"/>
    <xf numFmtId="0" fontId="0" fillId="12" borderId="0" xfId="0" applyFill="1"/>
    <xf numFmtId="10" fontId="8" fillId="12" borderId="0" xfId="0" applyNumberFormat="1" applyFont="1" applyFill="1"/>
    <xf numFmtId="9" fontId="7" fillId="12" borderId="0" xfId="0" applyNumberFormat="1" applyFont="1" applyFill="1"/>
    <xf numFmtId="9" fontId="8" fillId="12" borderId="0" xfId="0" applyNumberFormat="1" applyFont="1" applyFill="1"/>
    <xf numFmtId="0" fontId="8" fillId="12" borderId="0" xfId="0" applyFont="1" applyFill="1"/>
    <xf numFmtId="0" fontId="6" fillId="12" borderId="0" xfId="0" applyFont="1" applyFill="1"/>
    <xf numFmtId="0" fontId="7" fillId="12" borderId="15" xfId="0" applyFont="1" applyFill="1" applyBorder="1"/>
    <xf numFmtId="9" fontId="8" fillId="12" borderId="15" xfId="0" applyNumberFormat="1" applyFont="1" applyFill="1" applyBorder="1"/>
    <xf numFmtId="167" fontId="8" fillId="12" borderId="15" xfId="1" applyNumberFormat="1" applyFont="1" applyFill="1" applyBorder="1" applyProtection="1"/>
    <xf numFmtId="167" fontId="8" fillId="12" borderId="0" xfId="1" applyNumberFormat="1" applyFont="1" applyFill="1" applyProtection="1"/>
    <xf numFmtId="167" fontId="8" fillId="12" borderId="0" xfId="0" applyNumberFormat="1" applyFont="1" applyFill="1"/>
    <xf numFmtId="170" fontId="8" fillId="12" borderId="0" xfId="1" applyNumberFormat="1" applyFont="1" applyFill="1" applyProtection="1"/>
    <xf numFmtId="165" fontId="8" fillId="12" borderId="0" xfId="1" applyNumberFormat="1" applyFont="1" applyFill="1" applyProtection="1"/>
    <xf numFmtId="166" fontId="4" fillId="0" borderId="0" xfId="0" applyNumberFormat="1" applyFont="1" applyAlignment="1">
      <alignment horizontal="center"/>
    </xf>
    <xf numFmtId="0" fontId="12" fillId="14" borderId="0" xfId="0" applyFont="1" applyFill="1"/>
    <xf numFmtId="0" fontId="12" fillId="0" borderId="0" xfId="0" applyFont="1"/>
    <xf numFmtId="0" fontId="15" fillId="0" borderId="0" xfId="0" applyFont="1"/>
    <xf numFmtId="0" fontId="16" fillId="0" borderId="0" xfId="0" applyFont="1"/>
    <xf numFmtId="0" fontId="16" fillId="0" borderId="0" xfId="0" applyFont="1" applyAlignment="1">
      <alignment vertical="center"/>
    </xf>
    <xf numFmtId="0" fontId="17" fillId="0" borderId="0" xfId="0" applyFont="1"/>
    <xf numFmtId="2" fontId="17" fillId="0" borderId="0" xfId="0" applyNumberFormat="1" applyFont="1"/>
    <xf numFmtId="0" fontId="17" fillId="6" borderId="6" xfId="0" applyFont="1" applyFill="1" applyBorder="1"/>
    <xf numFmtId="14" fontId="17" fillId="6" borderId="0" xfId="0" applyNumberFormat="1" applyFont="1" applyFill="1"/>
    <xf numFmtId="0" fontId="17" fillId="6" borderId="0" xfId="0" applyFont="1" applyFill="1"/>
    <xf numFmtId="14" fontId="17" fillId="6" borderId="5" xfId="0" applyNumberFormat="1" applyFont="1" applyFill="1" applyBorder="1"/>
    <xf numFmtId="0" fontId="19" fillId="3" borderId="6" xfId="3" applyFont="1" applyFill="1" applyBorder="1"/>
    <xf numFmtId="10" fontId="19" fillId="6" borderId="0" xfId="3" applyNumberFormat="1" applyFont="1" applyFill="1" applyBorder="1" applyProtection="1">
      <protection locked="0"/>
    </xf>
    <xf numFmtId="0" fontId="19" fillId="6" borderId="0" xfId="3" applyFont="1" applyFill="1" applyBorder="1" applyProtection="1">
      <protection locked="0"/>
    </xf>
    <xf numFmtId="9" fontId="19" fillId="6" borderId="5" xfId="3" applyNumberFormat="1" applyFont="1" applyFill="1" applyBorder="1" applyProtection="1">
      <protection locked="0"/>
    </xf>
    <xf numFmtId="167" fontId="17" fillId="0" borderId="0" xfId="0" applyNumberFormat="1" applyFont="1"/>
    <xf numFmtId="10" fontId="4" fillId="0" borderId="0" xfId="0" applyNumberFormat="1" applyFont="1"/>
    <xf numFmtId="0" fontId="17" fillId="6" borderId="0" xfId="0" applyFont="1" applyFill="1" applyProtection="1">
      <protection locked="0"/>
    </xf>
    <xf numFmtId="0" fontId="17" fillId="6" borderId="5" xfId="0" applyFont="1" applyFill="1" applyBorder="1" applyProtection="1">
      <protection locked="0"/>
    </xf>
    <xf numFmtId="0" fontId="19" fillId="6" borderId="5" xfId="3" applyFont="1" applyFill="1" applyBorder="1" applyProtection="1">
      <protection locked="0"/>
    </xf>
    <xf numFmtId="0" fontId="19" fillId="6" borderId="5" xfId="3" applyFont="1" applyFill="1" applyBorder="1" applyAlignment="1" applyProtection="1">
      <protection locked="0"/>
    </xf>
    <xf numFmtId="0" fontId="17" fillId="0" borderId="0" xfId="0" applyFont="1" applyAlignment="1">
      <alignment vertical="center"/>
    </xf>
    <xf numFmtId="0" fontId="17" fillId="6" borderId="4" xfId="0" applyFont="1" applyFill="1" applyBorder="1"/>
    <xf numFmtId="0" fontId="17" fillId="6" borderId="3" xfId="0" applyFont="1" applyFill="1" applyBorder="1" applyProtection="1">
      <protection locked="0"/>
    </xf>
    <xf numFmtId="0" fontId="17" fillId="6" borderId="3" xfId="0" applyFont="1" applyFill="1" applyBorder="1"/>
    <xf numFmtId="0" fontId="17" fillId="6" borderId="2" xfId="0" applyFont="1" applyFill="1" applyBorder="1" applyProtection="1">
      <protection locked="0"/>
    </xf>
    <xf numFmtId="2" fontId="17" fillId="9" borderId="19" xfId="0" applyNumberFormat="1" applyFont="1" applyFill="1" applyBorder="1"/>
    <xf numFmtId="0" fontId="17" fillId="9" borderId="21" xfId="0" applyFont="1" applyFill="1" applyBorder="1"/>
    <xf numFmtId="10" fontId="19" fillId="9" borderId="27" xfId="3" applyNumberFormat="1" applyFont="1" applyFill="1" applyBorder="1"/>
    <xf numFmtId="0" fontId="20" fillId="0" borderId="0" xfId="0" applyFont="1"/>
    <xf numFmtId="0" fontId="12" fillId="13" borderId="0" xfId="0" applyFont="1" applyFill="1"/>
    <xf numFmtId="168" fontId="4" fillId="0" borderId="0" xfId="0" applyNumberFormat="1" applyFont="1"/>
    <xf numFmtId="164" fontId="4" fillId="0" borderId="0" xfId="2" applyFont="1" applyBorder="1"/>
    <xf numFmtId="166" fontId="17" fillId="0" borderId="0" xfId="0" applyNumberFormat="1" applyFont="1"/>
    <xf numFmtId="0" fontId="4" fillId="0" borderId="0" xfId="0" applyFont="1" applyAlignment="1">
      <alignment horizontal="center"/>
    </xf>
    <xf numFmtId="0" fontId="21" fillId="0" borderId="0" xfId="0" applyFont="1"/>
    <xf numFmtId="0" fontId="22" fillId="10" borderId="6" xfId="3" applyFont="1" applyFill="1" applyBorder="1" applyProtection="1"/>
    <xf numFmtId="0" fontId="22" fillId="11" borderId="6" xfId="3" applyFont="1" applyFill="1" applyBorder="1" applyProtection="1"/>
    <xf numFmtId="0" fontId="22" fillId="10" borderId="4" xfId="3" applyFont="1" applyFill="1" applyBorder="1" applyProtection="1"/>
    <xf numFmtId="0" fontId="19" fillId="6" borderId="3" xfId="3" applyFont="1" applyFill="1" applyBorder="1" applyProtection="1">
      <protection locked="0"/>
    </xf>
    <xf numFmtId="0" fontId="19" fillId="6" borderId="2" xfId="3" applyFont="1" applyFill="1" applyBorder="1" applyProtection="1">
      <protection locked="0"/>
    </xf>
    <xf numFmtId="0" fontId="0" fillId="15" borderId="0" xfId="0" applyFill="1"/>
    <xf numFmtId="0" fontId="8" fillId="15" borderId="0" xfId="0" applyFont="1" applyFill="1"/>
    <xf numFmtId="0" fontId="8" fillId="15" borderId="1" xfId="0" applyFont="1" applyFill="1" applyBorder="1"/>
    <xf numFmtId="10" fontId="8" fillId="15" borderId="1" xfId="0" applyNumberFormat="1" applyFont="1" applyFill="1" applyBorder="1"/>
    <xf numFmtId="9" fontId="8" fillId="15" borderId="1" xfId="0" applyNumberFormat="1" applyFont="1" applyFill="1" applyBorder="1"/>
    <xf numFmtId="0" fontId="13" fillId="15" borderId="1" xfId="0" applyFont="1" applyFill="1" applyBorder="1"/>
    <xf numFmtId="167" fontId="8" fillId="15" borderId="1" xfId="1" applyNumberFormat="1" applyFont="1" applyFill="1" applyBorder="1"/>
    <xf numFmtId="10" fontId="8" fillId="15" borderId="1" xfId="1" applyNumberFormat="1" applyFont="1" applyFill="1" applyBorder="1"/>
    <xf numFmtId="167" fontId="8" fillId="15" borderId="1" xfId="0" applyNumberFormat="1" applyFont="1" applyFill="1" applyBorder="1"/>
    <xf numFmtId="165" fontId="8" fillId="15" borderId="1" xfId="1" applyNumberFormat="1" applyFont="1" applyFill="1" applyBorder="1"/>
    <xf numFmtId="9" fontId="8" fillId="15" borderId="0" xfId="0" applyNumberFormat="1" applyFont="1" applyFill="1"/>
    <xf numFmtId="167" fontId="8" fillId="15" borderId="0" xfId="0" applyNumberFormat="1" applyFont="1" applyFill="1"/>
    <xf numFmtId="0" fontId="14" fillId="15" borderId="0" xfId="0" applyFont="1" applyFill="1" applyAlignment="1">
      <alignment horizontal="center"/>
    </xf>
    <xf numFmtId="0" fontId="12" fillId="15" borderId="0" xfId="0" applyFont="1" applyFill="1"/>
    <xf numFmtId="9" fontId="12" fillId="15" borderId="0" xfId="1" applyFont="1" applyFill="1" applyBorder="1"/>
    <xf numFmtId="2" fontId="8" fillId="15" borderId="0" xfId="0" applyNumberFormat="1" applyFont="1" applyFill="1"/>
    <xf numFmtId="10" fontId="8" fillId="15" borderId="0" xfId="1" applyNumberFormat="1" applyFont="1" applyFill="1" applyBorder="1"/>
    <xf numFmtId="2" fontId="8" fillId="15" borderId="0" xfId="1" applyNumberFormat="1" applyFont="1" applyFill="1" applyBorder="1"/>
    <xf numFmtId="2" fontId="8" fillId="15" borderId="0" xfId="0" applyNumberFormat="1" applyFont="1" applyFill="1" applyAlignment="1">
      <alignment horizontal="right"/>
    </xf>
    <xf numFmtId="2" fontId="0" fillId="15" borderId="0" xfId="0" applyNumberFormat="1" applyFill="1"/>
    <xf numFmtId="10" fontId="0" fillId="15" borderId="0" xfId="1" applyNumberFormat="1" applyFont="1" applyFill="1" applyBorder="1"/>
    <xf numFmtId="0" fontId="19" fillId="6" borderId="0" xfId="3" applyFont="1" applyFill="1" applyBorder="1"/>
    <xf numFmtId="0" fontId="18" fillId="0" borderId="0" xfId="0" applyFont="1"/>
    <xf numFmtId="0" fontId="27" fillId="0" borderId="0" xfId="0" applyFont="1"/>
    <xf numFmtId="10" fontId="4" fillId="6" borderId="0" xfId="1" applyNumberFormat="1" applyFont="1" applyFill="1" applyBorder="1"/>
    <xf numFmtId="0" fontId="4" fillId="6" borderId="22" xfId="0" applyFont="1" applyFill="1" applyBorder="1" applyAlignment="1">
      <alignment horizontal="left"/>
    </xf>
    <xf numFmtId="0" fontId="4" fillId="6" borderId="6" xfId="0" applyFont="1" applyFill="1" applyBorder="1" applyAlignment="1">
      <alignment horizontal="left"/>
    </xf>
    <xf numFmtId="0" fontId="4" fillId="6" borderId="24" xfId="0" applyFont="1" applyFill="1" applyBorder="1" applyAlignment="1">
      <alignment horizontal="left"/>
    </xf>
    <xf numFmtId="0" fontId="4" fillId="6" borderId="19" xfId="0" applyFont="1" applyFill="1" applyBorder="1" applyAlignment="1">
      <alignment horizontal="left"/>
    </xf>
    <xf numFmtId="0" fontId="4" fillId="6" borderId="20" xfId="0" applyFont="1" applyFill="1" applyBorder="1" applyAlignment="1">
      <alignment horizontal="left"/>
    </xf>
    <xf numFmtId="0" fontId="4" fillId="6" borderId="20" xfId="0" applyFont="1" applyFill="1" applyBorder="1" applyAlignment="1">
      <alignment horizontal="left" vertical="center"/>
    </xf>
    <xf numFmtId="0" fontId="4" fillId="6" borderId="21" xfId="0" applyFont="1" applyFill="1" applyBorder="1" applyAlignment="1">
      <alignment horizontal="left" vertical="center"/>
    </xf>
    <xf numFmtId="166" fontId="4" fillId="6" borderId="19" xfId="0" applyNumberFormat="1" applyFont="1" applyFill="1" applyBorder="1" applyProtection="1">
      <protection locked="0"/>
    </xf>
    <xf numFmtId="10" fontId="4" fillId="6" borderId="20" xfId="1" applyNumberFormat="1" applyFont="1" applyFill="1" applyBorder="1" applyProtection="1"/>
    <xf numFmtId="0" fontId="4" fillId="6" borderId="20" xfId="0" applyFont="1" applyFill="1" applyBorder="1" applyProtection="1">
      <protection locked="0"/>
    </xf>
    <xf numFmtId="0" fontId="4" fillId="6" borderId="20" xfId="0" applyFont="1" applyFill="1" applyBorder="1"/>
    <xf numFmtId="166" fontId="4" fillId="6" borderId="20" xfId="0" applyNumberFormat="1" applyFont="1" applyFill="1" applyBorder="1" applyProtection="1">
      <protection locked="0"/>
    </xf>
    <xf numFmtId="10" fontId="4" fillId="6" borderId="21" xfId="1" applyNumberFormat="1" applyFont="1" applyFill="1" applyBorder="1"/>
    <xf numFmtId="0" fontId="19" fillId="3" borderId="19" xfId="3" applyFont="1" applyFill="1" applyBorder="1"/>
    <xf numFmtId="0" fontId="19" fillId="3" borderId="20" xfId="3" applyFont="1" applyFill="1" applyBorder="1"/>
    <xf numFmtId="0" fontId="19" fillId="3" borderId="21" xfId="3" applyFont="1" applyFill="1" applyBorder="1"/>
    <xf numFmtId="10" fontId="19" fillId="6" borderId="23" xfId="3" applyNumberFormat="1" applyFont="1" applyFill="1" applyBorder="1"/>
    <xf numFmtId="0" fontId="19" fillId="6" borderId="23" xfId="3" applyFont="1" applyFill="1" applyBorder="1"/>
    <xf numFmtId="9" fontId="19" fillId="6" borderId="24" xfId="3" applyNumberFormat="1" applyFont="1" applyFill="1" applyBorder="1"/>
    <xf numFmtId="0" fontId="19" fillId="6" borderId="5" xfId="3" applyFont="1" applyFill="1" applyBorder="1"/>
    <xf numFmtId="0" fontId="19" fillId="6" borderId="3" xfId="3" applyFont="1" applyFill="1" applyBorder="1"/>
    <xf numFmtId="0" fontId="19" fillId="6" borderId="2" xfId="3" applyFont="1" applyFill="1" applyBorder="1"/>
    <xf numFmtId="166" fontId="4" fillId="9" borderId="24" xfId="2" applyNumberFormat="1" applyFont="1" applyFill="1" applyBorder="1" applyAlignment="1"/>
    <xf numFmtId="166" fontId="4" fillId="9" borderId="5" xfId="2" applyNumberFormat="1" applyFont="1" applyFill="1" applyBorder="1" applyAlignment="1"/>
    <xf numFmtId="2" fontId="4" fillId="9" borderId="5" xfId="0" applyNumberFormat="1" applyFont="1" applyFill="1" applyBorder="1"/>
    <xf numFmtId="10" fontId="4" fillId="9" borderId="5" xfId="0" applyNumberFormat="1" applyFont="1" applyFill="1" applyBorder="1"/>
    <xf numFmtId="10" fontId="4" fillId="9" borderId="2" xfId="0" applyNumberFormat="1" applyFont="1" applyFill="1" applyBorder="1"/>
    <xf numFmtId="0" fontId="4" fillId="6" borderId="5" xfId="0" applyFont="1" applyFill="1" applyBorder="1" applyAlignment="1">
      <alignment horizontal="left"/>
    </xf>
    <xf numFmtId="0" fontId="4" fillId="6" borderId="4" xfId="0" applyFont="1" applyFill="1" applyBorder="1" applyAlignment="1">
      <alignment horizontal="left"/>
    </xf>
    <xf numFmtId="0" fontId="4" fillId="6" borderId="2" xfId="0" applyFont="1" applyFill="1" applyBorder="1" applyAlignment="1">
      <alignment horizontal="left"/>
    </xf>
    <xf numFmtId="0" fontId="19" fillId="3" borderId="9" xfId="3" applyFont="1" applyFill="1" applyBorder="1" applyAlignment="1">
      <alignment horizontal="center"/>
    </xf>
    <xf numFmtId="0" fontId="19" fillId="3" borderId="8" xfId="3" applyFont="1" applyFill="1" applyBorder="1" applyAlignment="1">
      <alignment horizontal="center"/>
    </xf>
    <xf numFmtId="0" fontId="19" fillId="3" borderId="7" xfId="3" applyFont="1" applyFill="1" applyBorder="1" applyAlignment="1">
      <alignment horizontal="center"/>
    </xf>
    <xf numFmtId="0" fontId="0" fillId="9" borderId="0" xfId="0" applyFill="1"/>
    <xf numFmtId="0" fontId="24" fillId="9" borderId="1" xfId="0" applyFont="1" applyFill="1" applyBorder="1" applyAlignment="1">
      <alignment vertical="center"/>
    </xf>
    <xf numFmtId="0" fontId="23" fillId="9" borderId="1" xfId="0" applyFont="1" applyFill="1" applyBorder="1" applyAlignment="1">
      <alignment vertical="center"/>
    </xf>
    <xf numFmtId="0" fontId="13" fillId="9" borderId="1" xfId="0" applyFont="1" applyFill="1" applyBorder="1"/>
    <xf numFmtId="0" fontId="8" fillId="9" borderId="1" xfId="0" applyFont="1" applyFill="1" applyBorder="1"/>
    <xf numFmtId="0" fontId="13" fillId="9" borderId="1" xfId="0" applyFont="1" applyFill="1" applyBorder="1" applyAlignment="1">
      <alignment horizontal="center"/>
    </xf>
    <xf numFmtId="164" fontId="13" fillId="9" borderId="1" xfId="2" applyFont="1" applyFill="1" applyBorder="1" applyProtection="1">
      <protection locked="0"/>
    </xf>
    <xf numFmtId="10" fontId="8" fillId="9" borderId="1" xfId="0" applyNumberFormat="1" applyFont="1" applyFill="1" applyBorder="1"/>
    <xf numFmtId="9" fontId="8" fillId="9" borderId="1" xfId="0" applyNumberFormat="1" applyFont="1" applyFill="1" applyBorder="1"/>
    <xf numFmtId="1" fontId="13" fillId="9" borderId="1" xfId="2" applyNumberFormat="1" applyFont="1" applyFill="1" applyBorder="1" applyProtection="1">
      <protection locked="0"/>
    </xf>
    <xf numFmtId="167" fontId="13" fillId="9" borderId="1" xfId="1" applyNumberFormat="1" applyFont="1" applyFill="1" applyBorder="1" applyProtection="1">
      <protection locked="0"/>
    </xf>
    <xf numFmtId="0" fontId="8" fillId="9" borderId="29" xfId="0" applyFont="1" applyFill="1" applyBorder="1"/>
    <xf numFmtId="0" fontId="13" fillId="9" borderId="1" xfId="0" applyFont="1" applyFill="1" applyBorder="1" applyProtection="1">
      <protection locked="0"/>
    </xf>
    <xf numFmtId="167" fontId="8" fillId="9" borderId="1" xfId="1" applyNumberFormat="1" applyFont="1" applyFill="1" applyBorder="1"/>
    <xf numFmtId="167" fontId="8" fillId="9" borderId="1" xfId="0" applyNumberFormat="1" applyFont="1" applyFill="1" applyBorder="1"/>
    <xf numFmtId="0" fontId="13" fillId="9" borderId="1" xfId="0" applyFont="1" applyFill="1" applyBorder="1" applyAlignment="1">
      <alignment horizontal="center" vertical="center"/>
    </xf>
    <xf numFmtId="168" fontId="13" fillId="9" borderId="1" xfId="0" applyNumberFormat="1" applyFont="1" applyFill="1" applyBorder="1"/>
    <xf numFmtId="165" fontId="8" fillId="9" borderId="1" xfId="1" applyNumberFormat="1" applyFont="1" applyFill="1" applyBorder="1"/>
    <xf numFmtId="0" fontId="8" fillId="9" borderId="28" xfId="0" applyFont="1" applyFill="1" applyBorder="1"/>
    <xf numFmtId="10" fontId="8" fillId="9" borderId="1" xfId="1" applyNumberFormat="1" applyFont="1" applyFill="1" applyBorder="1" applyAlignment="1">
      <alignment horizontal="center"/>
    </xf>
    <xf numFmtId="0" fontId="8" fillId="9" borderId="11" xfId="0" applyFont="1" applyFill="1" applyBorder="1"/>
    <xf numFmtId="0" fontId="26" fillId="9" borderId="11" xfId="0" applyFont="1" applyFill="1" applyBorder="1" applyAlignment="1">
      <alignment horizontal="center" vertical="center"/>
    </xf>
    <xf numFmtId="0" fontId="25" fillId="9" borderId="11" xfId="0" applyFont="1" applyFill="1" applyBorder="1" applyAlignment="1">
      <alignment horizontal="center" vertical="center"/>
    </xf>
    <xf numFmtId="0" fontId="8" fillId="9" borderId="31" xfId="0" applyFont="1" applyFill="1" applyBorder="1"/>
    <xf numFmtId="0" fontId="0" fillId="16" borderId="0" xfId="0" applyFill="1"/>
    <xf numFmtId="0" fontId="8" fillId="16" borderId="0" xfId="0" applyFont="1" applyFill="1"/>
    <xf numFmtId="0" fontId="8" fillId="16" borderId="0" xfId="0" applyFont="1" applyFill="1" applyAlignment="1">
      <alignment horizontal="center"/>
    </xf>
    <xf numFmtId="0" fontId="8" fillId="16" borderId="0" xfId="4" applyFont="1" applyFill="1" applyBorder="1"/>
    <xf numFmtId="172" fontId="13" fillId="16" borderId="0" xfId="0" applyNumberFormat="1" applyFont="1" applyFill="1"/>
    <xf numFmtId="0" fontId="13" fillId="16" borderId="0" xfId="0" applyFont="1" applyFill="1"/>
    <xf numFmtId="10" fontId="8" fillId="16" borderId="0" xfId="0" applyNumberFormat="1" applyFont="1" applyFill="1"/>
    <xf numFmtId="9" fontId="8" fillId="16" borderId="0" xfId="0" applyNumberFormat="1" applyFont="1" applyFill="1"/>
    <xf numFmtId="167" fontId="8" fillId="16" borderId="0" xfId="1" applyNumberFormat="1" applyFont="1" applyFill="1" applyBorder="1"/>
    <xf numFmtId="167" fontId="8" fillId="16" borderId="0" xfId="0" applyNumberFormat="1" applyFont="1" applyFill="1"/>
    <xf numFmtId="165" fontId="8" fillId="16" borderId="0" xfId="1" applyNumberFormat="1" applyFont="1" applyFill="1" applyBorder="1"/>
    <xf numFmtId="44" fontId="8" fillId="16" borderId="0" xfId="0" applyNumberFormat="1" applyFont="1" applyFill="1"/>
    <xf numFmtId="172" fontId="8" fillId="16" borderId="0" xfId="0" applyNumberFormat="1" applyFont="1" applyFill="1"/>
    <xf numFmtId="0" fontId="4" fillId="6" borderId="0" xfId="0" applyFont="1" applyFill="1"/>
    <xf numFmtId="9" fontId="4" fillId="6" borderId="0" xfId="1" applyFont="1" applyFill="1" applyBorder="1"/>
    <xf numFmtId="0" fontId="4" fillId="6" borderId="6" xfId="0" applyFont="1" applyFill="1" applyBorder="1"/>
    <xf numFmtId="0" fontId="4" fillId="6" borderId="4" xfId="0" applyFont="1" applyFill="1" applyBorder="1"/>
    <xf numFmtId="0" fontId="4" fillId="6" borderId="22" xfId="0" applyFont="1" applyFill="1" applyBorder="1"/>
    <xf numFmtId="10" fontId="9" fillId="17" borderId="0" xfId="3" applyNumberFormat="1" applyFont="1" applyFill="1" applyBorder="1" applyProtection="1">
      <protection locked="0"/>
    </xf>
    <xf numFmtId="0" fontId="9" fillId="17" borderId="0" xfId="3" applyFont="1" applyFill="1" applyBorder="1" applyProtection="1">
      <protection locked="0"/>
    </xf>
    <xf numFmtId="9" fontId="9" fillId="17" borderId="0" xfId="3" applyNumberFormat="1" applyFont="1" applyFill="1" applyBorder="1" applyProtection="1">
      <protection locked="0"/>
    </xf>
    <xf numFmtId="0" fontId="9" fillId="18" borderId="0" xfId="3" applyFont="1" applyFill="1" applyBorder="1" applyProtection="1"/>
    <xf numFmtId="0" fontId="4" fillId="17" borderId="1" xfId="0" applyFont="1" applyFill="1" applyBorder="1"/>
    <xf numFmtId="0" fontId="9" fillId="19" borderId="0" xfId="3" applyFont="1" applyFill="1" applyBorder="1" applyProtection="1"/>
    <xf numFmtId="165" fontId="4" fillId="17" borderId="1" xfId="0" applyNumberFormat="1" applyFont="1" applyFill="1" applyBorder="1"/>
    <xf numFmtId="9" fontId="4" fillId="17" borderId="1" xfId="0" applyNumberFormat="1" applyFont="1" applyFill="1" applyBorder="1"/>
    <xf numFmtId="0" fontId="9" fillId="17" borderId="0" xfId="3" applyFont="1" applyFill="1" applyBorder="1" applyProtection="1"/>
    <xf numFmtId="167" fontId="9" fillId="17" borderId="0" xfId="3" applyNumberFormat="1" applyFont="1" applyFill="1" applyBorder="1" applyProtection="1"/>
    <xf numFmtId="0" fontId="4" fillId="3" borderId="1" xfId="0" applyFont="1" applyFill="1" applyBorder="1"/>
    <xf numFmtId="0" fontId="0" fillId="20" borderId="0" xfId="0" applyFill="1"/>
    <xf numFmtId="0" fontId="4" fillId="20" borderId="0" xfId="0" applyFont="1" applyFill="1"/>
    <xf numFmtId="9" fontId="4" fillId="20" borderId="0" xfId="0" applyNumberFormat="1" applyFont="1" applyFill="1"/>
    <xf numFmtId="0" fontId="28" fillId="0" borderId="0" xfId="0" applyFont="1"/>
    <xf numFmtId="0" fontId="29" fillId="0" borderId="0" xfId="0" applyFont="1" applyAlignment="1">
      <alignment vertical="center"/>
    </xf>
    <xf numFmtId="14" fontId="17" fillId="0" borderId="0" xfId="0" applyNumberFormat="1" applyFont="1"/>
    <xf numFmtId="168" fontId="17" fillId="0" borderId="0" xfId="0" applyNumberFormat="1" applyFont="1"/>
    <xf numFmtId="0" fontId="17" fillId="0" borderId="0" xfId="0" applyFont="1" applyAlignment="1">
      <alignment horizontal="center"/>
    </xf>
    <xf numFmtId="1" fontId="17" fillId="0" borderId="0" xfId="0" applyNumberFormat="1" applyFont="1"/>
    <xf numFmtId="166" fontId="17" fillId="9" borderId="24" xfId="0" applyNumberFormat="1" applyFont="1" applyFill="1" applyBorder="1"/>
    <xf numFmtId="166" fontId="17" fillId="9" borderId="5" xfId="2" applyNumberFormat="1" applyFont="1" applyFill="1" applyBorder="1"/>
    <xf numFmtId="44" fontId="17" fillId="9" borderId="5" xfId="0" applyNumberFormat="1" applyFont="1" applyFill="1" applyBorder="1"/>
    <xf numFmtId="171" fontId="17" fillId="9" borderId="5" xfId="0" applyNumberFormat="1" applyFont="1" applyFill="1" applyBorder="1"/>
    <xf numFmtId="166" fontId="17" fillId="9" borderId="2" xfId="2" applyNumberFormat="1" applyFont="1" applyFill="1" applyBorder="1"/>
    <xf numFmtId="166" fontId="17" fillId="9" borderId="5" xfId="5" applyNumberFormat="1" applyFont="1" applyFill="1" applyBorder="1"/>
    <xf numFmtId="44" fontId="17" fillId="9" borderId="5" xfId="5" applyFont="1" applyFill="1" applyBorder="1" applyAlignment="1"/>
    <xf numFmtId="44" fontId="17" fillId="9" borderId="5" xfId="5" applyFont="1" applyFill="1" applyBorder="1"/>
    <xf numFmtId="1" fontId="17" fillId="9" borderId="5" xfId="0" applyNumberFormat="1" applyFont="1" applyFill="1" applyBorder="1"/>
    <xf numFmtId="0" fontId="17" fillId="9" borderId="2" xfId="0" applyFont="1" applyFill="1" applyBorder="1" applyAlignment="1">
      <alignment horizontal="center"/>
    </xf>
    <xf numFmtId="0" fontId="17" fillId="6" borderId="0" xfId="0" applyFont="1" applyFill="1" applyAlignment="1">
      <alignment horizontal="center"/>
    </xf>
    <xf numFmtId="0" fontId="17" fillId="6" borderId="3" xfId="0" applyFont="1" applyFill="1" applyBorder="1" applyAlignment="1">
      <alignment horizontal="center" vertical="center"/>
    </xf>
    <xf numFmtId="0" fontId="17" fillId="6" borderId="2" xfId="0" applyFont="1" applyFill="1" applyBorder="1"/>
    <xf numFmtId="166" fontId="17" fillId="6" borderId="19" xfId="2" applyNumberFormat="1" applyFont="1" applyFill="1" applyBorder="1" applyProtection="1">
      <protection locked="0"/>
    </xf>
    <xf numFmtId="166" fontId="17" fillId="6" borderId="20" xfId="2" applyNumberFormat="1" applyFont="1" applyFill="1" applyBorder="1" applyProtection="1">
      <protection locked="0"/>
    </xf>
    <xf numFmtId="1" fontId="17" fillId="6" borderId="20" xfId="2" applyNumberFormat="1" applyFont="1" applyFill="1" applyBorder="1" applyProtection="1">
      <protection locked="0"/>
    </xf>
    <xf numFmtId="0" fontId="17" fillId="6" borderId="20" xfId="0" applyFont="1" applyFill="1" applyBorder="1"/>
    <xf numFmtId="0" fontId="17" fillId="6" borderId="21" xfId="0" applyFont="1" applyFill="1" applyBorder="1"/>
    <xf numFmtId="0" fontId="17" fillId="6" borderId="22" xfId="0" applyFont="1" applyFill="1" applyBorder="1"/>
    <xf numFmtId="0" fontId="17" fillId="6" borderId="23" xfId="0" applyFont="1" applyFill="1" applyBorder="1" applyAlignment="1">
      <alignment horizontal="center"/>
    </xf>
    <xf numFmtId="0" fontId="17" fillId="6" borderId="24" xfId="0" applyFont="1" applyFill="1" applyBorder="1" applyProtection="1">
      <protection locked="0"/>
    </xf>
    <xf numFmtId="10" fontId="17" fillId="6" borderId="20" xfId="1" applyNumberFormat="1" applyFont="1" applyFill="1" applyBorder="1" applyProtection="1"/>
    <xf numFmtId="9" fontId="17" fillId="6" borderId="20" xfId="1" applyFont="1" applyFill="1" applyBorder="1"/>
    <xf numFmtId="0" fontId="19" fillId="6" borderId="22" xfId="3" applyFont="1" applyFill="1" applyBorder="1"/>
    <xf numFmtId="9" fontId="19" fillId="6" borderId="23" xfId="3" applyNumberFormat="1" applyFont="1" applyFill="1" applyBorder="1"/>
    <xf numFmtId="0" fontId="4" fillId="6" borderId="24" xfId="0" applyFont="1" applyFill="1" applyBorder="1" applyAlignment="1">
      <alignment horizontal="center"/>
    </xf>
    <xf numFmtId="0" fontId="19" fillId="6" borderId="6" xfId="3" applyFont="1" applyFill="1" applyBorder="1"/>
    <xf numFmtId="0" fontId="4" fillId="6" borderId="5" xfId="0" applyFont="1" applyFill="1" applyBorder="1" applyAlignment="1">
      <alignment horizontal="center"/>
    </xf>
    <xf numFmtId="0" fontId="2" fillId="12" borderId="6" xfId="0" applyFont="1" applyFill="1" applyBorder="1"/>
    <xf numFmtId="0" fontId="2" fillId="12" borderId="0" xfId="0" applyFont="1" applyFill="1"/>
    <xf numFmtId="0" fontId="2" fillId="12" borderId="5" xfId="0" applyFont="1" applyFill="1" applyBorder="1"/>
    <xf numFmtId="2" fontId="2" fillId="12" borderId="0" xfId="0" applyNumberFormat="1" applyFont="1" applyFill="1"/>
    <xf numFmtId="165" fontId="2" fillId="12" borderId="0" xfId="0" applyNumberFormat="1" applyFont="1" applyFill="1"/>
    <xf numFmtId="0" fontId="2" fillId="12" borderId="6" xfId="0" applyFont="1" applyFill="1" applyBorder="1" applyAlignment="1">
      <alignment wrapText="1"/>
    </xf>
    <xf numFmtId="0" fontId="2" fillId="12" borderId="4" xfId="0" applyFont="1" applyFill="1" applyBorder="1"/>
    <xf numFmtId="0" fontId="2" fillId="12" borderId="3" xfId="0" applyFont="1" applyFill="1" applyBorder="1"/>
    <xf numFmtId="0" fontId="2" fillId="12" borderId="0" xfId="0" applyFont="1" applyFill="1" applyAlignment="1">
      <alignment wrapText="1"/>
    </xf>
    <xf numFmtId="9" fontId="2" fillId="12" borderId="3" xfId="0" applyNumberFormat="1" applyFont="1" applyFill="1" applyBorder="1"/>
    <xf numFmtId="0" fontId="2" fillId="12" borderId="2" xfId="0" applyFont="1" applyFill="1" applyBorder="1"/>
    <xf numFmtId="10" fontId="8" fillId="12" borderId="15" xfId="1" applyNumberFormat="1" applyFont="1" applyFill="1" applyBorder="1" applyProtection="1"/>
    <xf numFmtId="10" fontId="8" fillId="12" borderId="0" xfId="1" applyNumberFormat="1" applyFont="1" applyFill="1" applyProtection="1"/>
    <xf numFmtId="0" fontId="0" fillId="12" borderId="0" xfId="0" applyFill="1" applyProtection="1">
      <protection locked="0"/>
    </xf>
    <xf numFmtId="0" fontId="12" fillId="6" borderId="22" xfId="0" applyFont="1" applyFill="1" applyBorder="1" applyAlignment="1">
      <alignment horizontal="right" vertical="top"/>
    </xf>
    <xf numFmtId="166" fontId="12" fillId="9" borderId="24" xfId="0" applyNumberFormat="1" applyFont="1" applyFill="1" applyBorder="1" applyProtection="1">
      <protection locked="0"/>
    </xf>
    <xf numFmtId="0" fontId="12" fillId="6" borderId="6" xfId="0" applyFont="1" applyFill="1" applyBorder="1" applyAlignment="1">
      <alignment horizontal="right"/>
    </xf>
    <xf numFmtId="2" fontId="12" fillId="9" borderId="5" xfId="0" applyNumberFormat="1" applyFont="1" applyFill="1" applyBorder="1" applyProtection="1">
      <protection locked="0"/>
    </xf>
    <xf numFmtId="0" fontId="12" fillId="6" borderId="4" xfId="0" applyFont="1" applyFill="1" applyBorder="1" applyAlignment="1">
      <alignment horizontal="right"/>
    </xf>
    <xf numFmtId="10" fontId="12" fillId="9" borderId="2" xfId="1" applyNumberFormat="1" applyFont="1" applyFill="1" applyBorder="1" applyProtection="1">
      <protection locked="0"/>
    </xf>
    <xf numFmtId="0" fontId="12" fillId="6" borderId="22" xfId="0" applyFont="1" applyFill="1" applyBorder="1"/>
    <xf numFmtId="0" fontId="12" fillId="6" borderId="24" xfId="0" applyFont="1" applyFill="1" applyBorder="1" applyProtection="1">
      <protection locked="0"/>
    </xf>
    <xf numFmtId="0" fontId="12" fillId="6" borderId="6" xfId="0" applyFont="1" applyFill="1" applyBorder="1"/>
    <xf numFmtId="0" fontId="12" fillId="6" borderId="5" xfId="0" applyFont="1" applyFill="1" applyBorder="1" applyProtection="1">
      <protection locked="0"/>
    </xf>
    <xf numFmtId="10" fontId="12" fillId="6" borderId="5" xfId="0" applyNumberFormat="1" applyFont="1" applyFill="1" applyBorder="1" applyProtection="1">
      <protection locked="0"/>
    </xf>
    <xf numFmtId="0" fontId="12" fillId="6" borderId="4" xfId="0" applyFont="1" applyFill="1" applyBorder="1" applyAlignment="1">
      <alignment wrapText="1"/>
    </xf>
    <xf numFmtId="10" fontId="12" fillId="6" borderId="2" xfId="1" applyNumberFormat="1" applyFont="1" applyFill="1" applyBorder="1" applyProtection="1">
      <protection locked="0"/>
    </xf>
    <xf numFmtId="0" fontId="12" fillId="6" borderId="4" xfId="0" applyFont="1" applyFill="1" applyBorder="1"/>
    <xf numFmtId="0" fontId="12" fillId="6" borderId="2" xfId="0" applyFont="1" applyFill="1" applyBorder="1" applyProtection="1">
      <protection locked="0"/>
    </xf>
    <xf numFmtId="166" fontId="4" fillId="9" borderId="1" xfId="0" applyNumberFormat="1" applyFont="1" applyFill="1" applyBorder="1"/>
    <xf numFmtId="166" fontId="4" fillId="9" borderId="1" xfId="2" applyNumberFormat="1" applyFont="1" applyFill="1" applyBorder="1"/>
    <xf numFmtId="0" fontId="21" fillId="3" borderId="9" xfId="4" applyFont="1" applyFill="1" applyBorder="1" applyAlignment="1" applyProtection="1">
      <alignment horizontal="center"/>
    </xf>
    <xf numFmtId="0" fontId="21" fillId="3" borderId="25" xfId="4" applyFont="1" applyFill="1" applyBorder="1" applyAlignment="1" applyProtection="1">
      <alignment horizontal="center"/>
    </xf>
    <xf numFmtId="0" fontId="21" fillId="3" borderId="26" xfId="4" applyFont="1" applyFill="1" applyBorder="1" applyAlignment="1" applyProtection="1">
      <alignment horizontal="center"/>
    </xf>
    <xf numFmtId="0" fontId="21" fillId="3" borderId="7" xfId="4" applyFont="1" applyFill="1" applyBorder="1" applyAlignment="1" applyProtection="1">
      <alignment horizontal="center"/>
    </xf>
    <xf numFmtId="167" fontId="22" fillId="9" borderId="9" xfId="3" applyNumberFormat="1" applyFont="1" applyFill="1" applyBorder="1" applyAlignment="1" applyProtection="1">
      <alignment horizontal="center"/>
    </xf>
    <xf numFmtId="167" fontId="22" fillId="9" borderId="8" xfId="3" applyNumberFormat="1" applyFont="1" applyFill="1" applyBorder="1" applyAlignment="1" applyProtection="1">
      <alignment horizontal="center"/>
    </xf>
    <xf numFmtId="167" fontId="22" fillId="9" borderId="7" xfId="3" applyNumberFormat="1" applyFont="1" applyFill="1" applyBorder="1" applyAlignment="1" applyProtection="1">
      <alignment horizontal="center"/>
    </xf>
    <xf numFmtId="0" fontId="12" fillId="3" borderId="0" xfId="0" applyFont="1" applyFill="1" applyAlignment="1">
      <alignment horizontal="center"/>
    </xf>
    <xf numFmtId="0" fontId="16" fillId="0" borderId="0" xfId="0" applyFont="1" applyAlignment="1">
      <alignment horizontal="center"/>
    </xf>
    <xf numFmtId="0" fontId="12" fillId="13" borderId="0" xfId="0" applyFont="1" applyFill="1" applyAlignment="1">
      <alignment horizontal="center"/>
    </xf>
    <xf numFmtId="0" fontId="12" fillId="3" borderId="9" xfId="0" applyFont="1" applyFill="1" applyBorder="1" applyAlignment="1">
      <alignment horizontal="center"/>
    </xf>
    <xf numFmtId="0" fontId="12" fillId="3" borderId="7" xfId="0" applyFont="1" applyFill="1" applyBorder="1" applyAlignment="1">
      <alignment horizontal="center"/>
    </xf>
    <xf numFmtId="0" fontId="17" fillId="3" borderId="9" xfId="4" applyFont="1" applyFill="1" applyBorder="1" applyAlignment="1">
      <alignment horizontal="center"/>
    </xf>
    <xf numFmtId="0" fontId="17" fillId="3" borderId="8" xfId="4" applyFont="1" applyFill="1" applyBorder="1" applyAlignment="1">
      <alignment horizontal="center"/>
    </xf>
    <xf numFmtId="0" fontId="17" fillId="3" borderId="7" xfId="4" applyFont="1" applyFill="1" applyBorder="1" applyAlignment="1">
      <alignment horizontal="center"/>
    </xf>
    <xf numFmtId="0" fontId="18" fillId="3" borderId="9" xfId="0" applyFont="1" applyFill="1" applyBorder="1" applyAlignment="1">
      <alignment horizontal="center"/>
    </xf>
    <xf numFmtId="0" fontId="18" fillId="3" borderId="8" xfId="0" applyFont="1" applyFill="1" applyBorder="1" applyAlignment="1">
      <alignment horizontal="center"/>
    </xf>
    <xf numFmtId="0" fontId="18" fillId="3" borderId="7" xfId="0" applyFont="1" applyFill="1" applyBorder="1" applyAlignment="1">
      <alignment horizontal="center"/>
    </xf>
    <xf numFmtId="0" fontId="17" fillId="6" borderId="22" xfId="0" applyFont="1" applyFill="1" applyBorder="1" applyAlignment="1">
      <alignment horizontal="left"/>
    </xf>
    <xf numFmtId="0" fontId="17" fillId="6" borderId="23" xfId="0" applyFont="1" applyFill="1" applyBorder="1" applyAlignment="1">
      <alignment horizontal="left"/>
    </xf>
    <xf numFmtId="0" fontId="17" fillId="6" borderId="24" xfId="0" applyFont="1" applyFill="1" applyBorder="1" applyAlignment="1">
      <alignment horizontal="left"/>
    </xf>
    <xf numFmtId="0" fontId="17" fillId="6" borderId="4" xfId="0" applyFont="1" applyFill="1" applyBorder="1" applyAlignment="1">
      <alignment horizontal="left"/>
    </xf>
    <xf numFmtId="0" fontId="17" fillId="6" borderId="3" xfId="0" applyFont="1" applyFill="1" applyBorder="1" applyAlignment="1">
      <alignment horizontal="left"/>
    </xf>
    <xf numFmtId="0" fontId="17" fillId="6" borderId="2" xfId="0" applyFont="1" applyFill="1" applyBorder="1" applyAlignment="1">
      <alignment horizontal="left"/>
    </xf>
    <xf numFmtId="0" fontId="19" fillId="3" borderId="4" xfId="3" applyFont="1" applyFill="1" applyBorder="1" applyAlignment="1">
      <alignment horizontal="center"/>
    </xf>
    <xf numFmtId="0" fontId="19" fillId="3" borderId="3" xfId="3" applyFont="1" applyFill="1" applyBorder="1" applyAlignment="1">
      <alignment horizontal="center"/>
    </xf>
    <xf numFmtId="0" fontId="4" fillId="0" borderId="0" xfId="0" applyFont="1" applyAlignment="1">
      <alignment horizontal="left"/>
    </xf>
    <xf numFmtId="0" fontId="17" fillId="3" borderId="9" xfId="0" applyFont="1" applyFill="1" applyBorder="1" applyAlignment="1">
      <alignment horizontal="center"/>
    </xf>
    <xf numFmtId="0" fontId="17" fillId="3" borderId="8" xfId="0" applyFont="1" applyFill="1" applyBorder="1" applyAlignment="1">
      <alignment horizontal="center"/>
    </xf>
    <xf numFmtId="0" fontId="17" fillId="3" borderId="7" xfId="0" applyFont="1" applyFill="1" applyBorder="1" applyAlignment="1">
      <alignment horizontal="center"/>
    </xf>
    <xf numFmtId="0" fontId="4" fillId="3" borderId="9" xfId="4" applyFont="1" applyFill="1" applyBorder="1" applyAlignment="1">
      <alignment horizontal="center"/>
    </xf>
    <xf numFmtId="0" fontId="4" fillId="3" borderId="8" xfId="4" applyFont="1" applyFill="1" applyBorder="1" applyAlignment="1">
      <alignment horizontal="center"/>
    </xf>
    <xf numFmtId="0" fontId="4" fillId="3" borderId="7" xfId="4" applyFont="1" applyFill="1" applyBorder="1" applyAlignment="1">
      <alignment horizontal="center"/>
    </xf>
    <xf numFmtId="0" fontId="4" fillId="6" borderId="22" xfId="0" applyFont="1" applyFill="1" applyBorder="1" applyAlignment="1">
      <alignment horizontal="left"/>
    </xf>
    <xf numFmtId="0" fontId="4" fillId="6" borderId="24" xfId="0" applyFont="1" applyFill="1" applyBorder="1" applyAlignment="1">
      <alignment horizontal="left"/>
    </xf>
    <xf numFmtId="44" fontId="4" fillId="9" borderId="23" xfId="0" applyNumberFormat="1" applyFont="1" applyFill="1" applyBorder="1" applyAlignment="1">
      <alignment horizontal="center"/>
    </xf>
    <xf numFmtId="44" fontId="4" fillId="9" borderId="24" xfId="0" applyNumberFormat="1" applyFont="1" applyFill="1" applyBorder="1" applyAlignment="1">
      <alignment horizontal="center"/>
    </xf>
    <xf numFmtId="44" fontId="4" fillId="9" borderId="6" xfId="0" applyNumberFormat="1" applyFont="1" applyFill="1" applyBorder="1" applyAlignment="1">
      <alignment horizontal="center"/>
    </xf>
    <xf numFmtId="44" fontId="4" fillId="9" borderId="5" xfId="0" applyNumberFormat="1" applyFont="1" applyFill="1" applyBorder="1" applyAlignment="1">
      <alignment horizontal="center"/>
    </xf>
    <xf numFmtId="10" fontId="4" fillId="9" borderId="6" xfId="0" applyNumberFormat="1" applyFont="1" applyFill="1" applyBorder="1" applyAlignment="1">
      <alignment horizontal="right" indent="1"/>
    </xf>
    <xf numFmtId="10" fontId="4" fillId="9" borderId="5" xfId="0" applyNumberFormat="1" applyFont="1" applyFill="1" applyBorder="1" applyAlignment="1">
      <alignment horizontal="right" indent="1"/>
    </xf>
    <xf numFmtId="10" fontId="4" fillId="9" borderId="4" xfId="0" applyNumberFormat="1" applyFont="1" applyFill="1" applyBorder="1" applyAlignment="1">
      <alignment horizontal="right"/>
    </xf>
    <xf numFmtId="10" fontId="4" fillId="9" borderId="2" xfId="0" applyNumberFormat="1" applyFont="1" applyFill="1" applyBorder="1" applyAlignment="1">
      <alignment horizontal="right"/>
    </xf>
    <xf numFmtId="2" fontId="4" fillId="9" borderId="6" xfId="0" applyNumberFormat="1" applyFont="1" applyFill="1" applyBorder="1" applyAlignment="1">
      <alignment horizontal="right"/>
    </xf>
    <xf numFmtId="2" fontId="4" fillId="9" borderId="5" xfId="0" applyNumberFormat="1" applyFont="1" applyFill="1" applyBorder="1" applyAlignment="1">
      <alignment horizontal="right"/>
    </xf>
    <xf numFmtId="0" fontId="18" fillId="3" borderId="22" xfId="0" applyFont="1" applyFill="1" applyBorder="1" applyAlignment="1">
      <alignment horizontal="center" vertical="center"/>
    </xf>
    <xf numFmtId="0" fontId="18" fillId="3" borderId="23" xfId="0" applyFont="1" applyFill="1" applyBorder="1" applyAlignment="1">
      <alignment horizontal="center" vertical="center"/>
    </xf>
    <xf numFmtId="0" fontId="18" fillId="3" borderId="4" xfId="0" applyFont="1" applyFill="1" applyBorder="1" applyAlignment="1">
      <alignment horizontal="center" vertical="center"/>
    </xf>
    <xf numFmtId="0" fontId="18" fillId="3" borderId="3" xfId="0" applyFont="1" applyFill="1" applyBorder="1" applyAlignment="1">
      <alignment horizontal="center" vertical="center"/>
    </xf>
    <xf numFmtId="0" fontId="18" fillId="3" borderId="24" xfId="0" applyFont="1" applyFill="1" applyBorder="1" applyAlignment="1">
      <alignment horizontal="center" vertical="center"/>
    </xf>
    <xf numFmtId="0" fontId="18" fillId="3" borderId="2" xfId="0" applyFont="1" applyFill="1" applyBorder="1" applyAlignment="1">
      <alignment horizontal="center" vertical="center"/>
    </xf>
    <xf numFmtId="10" fontId="19" fillId="9" borderId="9" xfId="3" applyNumberFormat="1" applyFont="1" applyFill="1" applyBorder="1" applyAlignment="1">
      <alignment horizontal="center"/>
    </xf>
    <xf numFmtId="10" fontId="19" fillId="9" borderId="7" xfId="3" applyNumberFormat="1" applyFont="1" applyFill="1" applyBorder="1" applyAlignment="1">
      <alignment horizontal="center"/>
    </xf>
    <xf numFmtId="0" fontId="19" fillId="6" borderId="9" xfId="3" applyFont="1" applyFill="1" applyBorder="1" applyAlignment="1">
      <alignment horizontal="center"/>
    </xf>
    <xf numFmtId="0" fontId="19" fillId="6" borderId="8" xfId="3" applyFont="1" applyFill="1" applyBorder="1" applyAlignment="1">
      <alignment horizontal="center"/>
    </xf>
    <xf numFmtId="0" fontId="19" fillId="6" borderId="7" xfId="3" applyFont="1" applyFill="1" applyBorder="1" applyAlignment="1">
      <alignment horizontal="center"/>
    </xf>
    <xf numFmtId="0" fontId="17" fillId="6" borderId="6" xfId="0" applyFont="1" applyFill="1" applyBorder="1" applyAlignment="1">
      <alignment horizontal="left"/>
    </xf>
    <xf numFmtId="0" fontId="17" fillId="6" borderId="0" xfId="0" applyFont="1" applyFill="1" applyAlignment="1">
      <alignment horizontal="left"/>
    </xf>
    <xf numFmtId="0" fontId="17" fillId="3" borderId="9" xfId="0" applyFont="1" applyFill="1" applyBorder="1" applyAlignment="1">
      <alignment horizontal="center" vertical="center"/>
    </xf>
    <xf numFmtId="0" fontId="17" fillId="3" borderId="8" xfId="0" applyFont="1" applyFill="1" applyBorder="1" applyAlignment="1">
      <alignment horizontal="center" vertical="center"/>
    </xf>
    <xf numFmtId="0" fontId="17" fillId="3" borderId="7" xfId="0" applyFont="1" applyFill="1" applyBorder="1" applyAlignment="1">
      <alignment horizontal="center" vertical="center"/>
    </xf>
    <xf numFmtId="0" fontId="16" fillId="3" borderId="8" xfId="0" applyFont="1" applyFill="1" applyBorder="1" applyAlignment="1">
      <alignment horizontal="center"/>
    </xf>
    <xf numFmtId="0" fontId="16" fillId="3" borderId="7" xfId="0" applyFont="1" applyFill="1" applyBorder="1" applyAlignment="1">
      <alignment horizontal="center"/>
    </xf>
    <xf numFmtId="0" fontId="17" fillId="0" borderId="0" xfId="0" applyFont="1" applyAlignment="1">
      <alignment horizontal="center"/>
    </xf>
    <xf numFmtId="0" fontId="13" fillId="3" borderId="13" xfId="4" applyFont="1" applyFill="1" applyBorder="1" applyAlignment="1" applyProtection="1">
      <alignment horizontal="center"/>
    </xf>
    <xf numFmtId="0" fontId="13" fillId="3" borderId="14" xfId="4" applyFont="1" applyFill="1" applyBorder="1" applyAlignment="1" applyProtection="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4" fillId="3" borderId="0" xfId="0" applyFont="1" applyFill="1" applyAlignment="1">
      <alignment horizontal="center"/>
    </xf>
    <xf numFmtId="166" fontId="4" fillId="0" borderId="0" xfId="0" applyNumberFormat="1" applyFont="1" applyAlignment="1">
      <alignment horizontal="center"/>
    </xf>
    <xf numFmtId="0" fontId="4" fillId="3" borderId="22" xfId="0" applyFont="1" applyFill="1" applyBorder="1" applyAlignment="1">
      <alignment horizontal="center"/>
    </xf>
    <xf numFmtId="0" fontId="4" fillId="3" borderId="23" xfId="0" applyFont="1" applyFill="1" applyBorder="1" applyAlignment="1">
      <alignment horizontal="center"/>
    </xf>
    <xf numFmtId="0" fontId="4" fillId="3" borderId="24" xfId="0" applyFont="1" applyFill="1" applyBorder="1" applyAlignment="1">
      <alignment horizontal="center"/>
    </xf>
    <xf numFmtId="0" fontId="4" fillId="3" borderId="9" xfId="0" applyFont="1" applyFill="1" applyBorder="1" applyAlignment="1">
      <alignment horizontal="center"/>
    </xf>
    <xf numFmtId="0" fontId="4" fillId="3" borderId="8" xfId="0" applyFont="1" applyFill="1" applyBorder="1" applyAlignment="1">
      <alignment horizontal="center"/>
    </xf>
    <xf numFmtId="0" fontId="4" fillId="3" borderId="7" xfId="0" applyFont="1" applyFill="1" applyBorder="1" applyAlignment="1">
      <alignment horizontal="center"/>
    </xf>
    <xf numFmtId="0" fontId="4" fillId="0" borderId="0" xfId="0" applyFont="1" applyAlignment="1">
      <alignment horizontal="center"/>
    </xf>
    <xf numFmtId="2" fontId="4" fillId="16" borderId="23" xfId="0" applyNumberFormat="1" applyFont="1" applyFill="1" applyBorder="1" applyAlignment="1">
      <alignment horizontal="center"/>
    </xf>
    <xf numFmtId="2" fontId="4" fillId="16" borderId="0" xfId="0" applyNumberFormat="1" applyFont="1" applyFill="1" applyAlignment="1">
      <alignment horizontal="center"/>
    </xf>
    <xf numFmtId="2" fontId="4" fillId="16" borderId="3" xfId="0" applyNumberFormat="1" applyFont="1" applyFill="1" applyBorder="1" applyAlignment="1">
      <alignment horizontal="center"/>
    </xf>
    <xf numFmtId="2" fontId="4" fillId="16" borderId="22" xfId="0" applyNumberFormat="1" applyFont="1" applyFill="1" applyBorder="1" applyAlignment="1">
      <alignment horizontal="center"/>
    </xf>
    <xf numFmtId="2" fontId="4" fillId="16" borderId="24" xfId="0" applyNumberFormat="1" applyFont="1" applyFill="1" applyBorder="1" applyAlignment="1">
      <alignment horizontal="center"/>
    </xf>
    <xf numFmtId="2" fontId="4" fillId="16" borderId="6" xfId="0" applyNumberFormat="1" applyFont="1" applyFill="1" applyBorder="1" applyAlignment="1">
      <alignment horizontal="center"/>
    </xf>
    <xf numFmtId="2" fontId="4" fillId="16" borderId="5" xfId="0" applyNumberFormat="1" applyFont="1" applyFill="1" applyBorder="1" applyAlignment="1">
      <alignment horizontal="center"/>
    </xf>
    <xf numFmtId="2" fontId="4" fillId="16" borderId="4" xfId="0" applyNumberFormat="1" applyFont="1" applyFill="1" applyBorder="1" applyAlignment="1">
      <alignment horizontal="center"/>
    </xf>
    <xf numFmtId="2" fontId="4" fillId="16" borderId="2" xfId="0" applyNumberFormat="1" applyFont="1" applyFill="1" applyBorder="1" applyAlignment="1">
      <alignment horizontal="center"/>
    </xf>
    <xf numFmtId="0" fontId="0" fillId="3" borderId="9" xfId="0" applyFill="1" applyBorder="1" applyAlignment="1">
      <alignment horizontal="center"/>
    </xf>
    <xf numFmtId="0" fontId="0" fillId="3" borderId="8" xfId="0" applyFill="1" applyBorder="1" applyAlignment="1">
      <alignment horizontal="center"/>
    </xf>
    <xf numFmtId="0" fontId="0" fillId="3" borderId="7" xfId="0" applyFill="1" applyBorder="1" applyAlignment="1">
      <alignment horizontal="center"/>
    </xf>
    <xf numFmtId="0" fontId="0" fillId="2" borderId="9" xfId="0" applyFill="1" applyBorder="1" applyAlignment="1">
      <alignment horizontal="center"/>
    </xf>
    <xf numFmtId="0" fontId="0" fillId="2" borderId="8" xfId="0" applyFill="1" applyBorder="1" applyAlignment="1">
      <alignment horizontal="center"/>
    </xf>
    <xf numFmtId="0" fontId="0" fillId="2" borderId="7" xfId="0" applyFill="1" applyBorder="1" applyAlignment="1">
      <alignment horizontal="center"/>
    </xf>
    <xf numFmtId="0" fontId="0" fillId="0" borderId="6" xfId="0" applyBorder="1" applyAlignment="1">
      <alignment horizontal="left"/>
    </xf>
    <xf numFmtId="0" fontId="0" fillId="0" borderId="0" xfId="0" applyAlignment="1">
      <alignment horizontal="left"/>
    </xf>
    <xf numFmtId="0" fontId="0" fillId="0" borderId="4" xfId="0" applyBorder="1" applyAlignment="1">
      <alignment horizontal="left"/>
    </xf>
    <xf numFmtId="0" fontId="0" fillId="0" borderId="3" xfId="0" applyBorder="1" applyAlignment="1">
      <alignment horizontal="left"/>
    </xf>
    <xf numFmtId="0" fontId="0" fillId="0" borderId="2" xfId="0" applyBorder="1" applyAlignment="1">
      <alignment horizontal="left"/>
    </xf>
    <xf numFmtId="0" fontId="0" fillId="0" borderId="5" xfId="0" applyBorder="1" applyAlignment="1">
      <alignment horizontal="left"/>
    </xf>
    <xf numFmtId="0" fontId="0" fillId="0" borderId="0" xfId="0" applyAlignment="1">
      <alignment horizontal="center"/>
    </xf>
    <xf numFmtId="0" fontId="7" fillId="12" borderId="0" xfId="0" applyFont="1" applyFill="1" applyAlignment="1">
      <alignment horizontal="center"/>
    </xf>
    <xf numFmtId="0" fontId="0" fillId="12" borderId="0" xfId="0" applyFill="1" applyAlignment="1">
      <alignment horizontal="center"/>
    </xf>
    <xf numFmtId="0" fontId="0" fillId="15" borderId="0" xfId="0" applyFill="1" applyAlignment="1">
      <alignment horizontal="center"/>
    </xf>
    <xf numFmtId="0" fontId="0" fillId="9" borderId="0" xfId="0" applyFill="1" applyAlignment="1">
      <alignment horizontal="center"/>
    </xf>
    <xf numFmtId="0" fontId="0" fillId="16" borderId="0" xfId="0" applyFill="1" applyAlignment="1">
      <alignment horizontal="center"/>
    </xf>
    <xf numFmtId="0" fontId="0" fillId="20" borderId="0" xfId="0" applyFill="1" applyAlignment="1">
      <alignment horizontal="center"/>
    </xf>
    <xf numFmtId="0" fontId="0" fillId="9" borderId="30" xfId="0" applyFill="1" applyBorder="1" applyAlignment="1">
      <alignment horizontal="center"/>
    </xf>
    <xf numFmtId="0" fontId="3" fillId="12" borderId="9" xfId="0" applyFont="1" applyFill="1" applyBorder="1" applyAlignment="1">
      <alignment horizontal="center"/>
    </xf>
    <xf numFmtId="0" fontId="3" fillId="12" borderId="8" xfId="0" applyFont="1" applyFill="1" applyBorder="1" applyAlignment="1">
      <alignment horizontal="center"/>
    </xf>
    <xf numFmtId="0" fontId="3" fillId="12" borderId="7" xfId="0" applyFont="1" applyFill="1" applyBorder="1" applyAlignment="1">
      <alignment horizontal="center"/>
    </xf>
    <xf numFmtId="0" fontId="2" fillId="12" borderId="0" xfId="0" applyFont="1" applyFill="1" applyAlignment="1">
      <alignment horizontal="center"/>
    </xf>
    <xf numFmtId="0" fontId="2" fillId="12" borderId="5" xfId="0" applyFont="1" applyFill="1" applyBorder="1" applyAlignment="1">
      <alignment horizontal="center"/>
    </xf>
    <xf numFmtId="0" fontId="2" fillId="12" borderId="3" xfId="0" applyFont="1" applyFill="1" applyBorder="1" applyAlignment="1">
      <alignment horizontal="center"/>
    </xf>
    <xf numFmtId="0" fontId="2" fillId="12" borderId="2" xfId="0" applyFont="1" applyFill="1" applyBorder="1" applyAlignment="1">
      <alignment horizontal="center"/>
    </xf>
  </cellXfs>
  <cellStyles count="6">
    <cellStyle name="40% - Accent5" xfId="4" builtinId="47"/>
    <cellStyle name="Currency" xfId="2" builtinId="4"/>
    <cellStyle name="Currency 2" xfId="5" xr:uid="{93C74485-8C43-4F6A-9636-973ADDCFEBF0}"/>
    <cellStyle name="Heading 1" xfId="3" builtinId="16"/>
    <cellStyle name="Normal" xfId="0" builtinId="0"/>
    <cellStyle name="Percent" xfId="1" builtinId="5"/>
  </cellStyles>
  <dxfs count="6">
    <dxf>
      <font>
        <b val="0"/>
        <i val="0"/>
        <strike val="0"/>
        <condense val="0"/>
        <extend val="0"/>
        <outline val="0"/>
        <shadow val="0"/>
        <u val="none"/>
        <vertAlign val="baseline"/>
        <sz val="11"/>
        <color theme="1"/>
        <name val="Aptos Narrow"/>
        <family val="2"/>
        <scheme val="minor"/>
      </font>
      <numFmt numFmtId="14" formatCode="0.00%"/>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fill>
        <patternFill patternType="none">
          <fgColor indexed="64"/>
          <bgColor indexed="65"/>
        </patternFill>
      </fill>
    </dxf>
    <dxf>
      <font>
        <b val="0"/>
        <i val="0"/>
        <strike val="0"/>
        <condense val="0"/>
        <extend val="0"/>
        <outline val="0"/>
        <shadow val="0"/>
        <u val="none"/>
        <vertAlign val="baseline"/>
        <sz val="9.6"/>
        <color rgb="FF374151"/>
        <name val="Arial"/>
        <family val="2"/>
        <scheme val="none"/>
      </font>
      <numFmt numFmtId="169" formatCode="_-[$$-409]* #,##0.00_ ;_-[$$-409]* \-#,##0.00\ ;_-[$$-409]* &quot;-&quot;??_ ;_-@_ "/>
      <alignment horizontal="general" vertical="center" textRotation="0" wrapText="1" indent="0" justifyLastLine="0" shrinkToFit="0" readingOrder="0"/>
    </dxf>
    <dxf>
      <fill>
        <patternFill patternType="solid">
          <fgColor indexed="64"/>
          <bgColor theme="5"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ichStyles" Target="richData/richStyl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externalLink" Target="externalLinks/externalLink1.xml"/><Relationship Id="rId19"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FUTURE VALUE OF</a:t>
            </a:r>
            <a:r>
              <a:rPr lang="en-ZA" baseline="0"/>
              <a:t> DIFFERENT INTEREST RATES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BACKROOM1!$K$24:$K$28</c:f>
              <c:strCache>
                <c:ptCount val="5"/>
                <c:pt idx="0">
                  <c:v>SIMPLE </c:v>
                </c:pt>
                <c:pt idx="1">
                  <c:v>EFFECTIVE PERIODIC</c:v>
                </c:pt>
                <c:pt idx="2">
                  <c:v>EFFECTIVE ANNUAL</c:v>
                </c:pt>
                <c:pt idx="3">
                  <c:v>NOMINAL </c:v>
                </c:pt>
                <c:pt idx="4">
                  <c:v>CONTINOUS</c:v>
                </c:pt>
              </c:strCache>
            </c:strRef>
          </c:cat>
          <c:val>
            <c:numRef>
              <c:f>BACKROOM1!$L$24:$L$28</c:f>
              <c:numCache>
                <c:formatCode>0.00</c:formatCode>
                <c:ptCount val="5"/>
                <c:pt idx="0">
                  <c:v>18000</c:v>
                </c:pt>
                <c:pt idx="1">
                  <c:v>4096800.429170954</c:v>
                </c:pt>
                <c:pt idx="2">
                  <c:v>5187.4849202000041</c:v>
                </c:pt>
                <c:pt idx="3">
                  <c:v>5402.9698815066695</c:v>
                </c:pt>
                <c:pt idx="4">
                  <c:v>5436.5636569180906</c:v>
                </c:pt>
              </c:numCache>
            </c:numRef>
          </c:val>
          <c:extLst>
            <c:ext xmlns:c16="http://schemas.microsoft.com/office/drawing/2014/chart" uri="{C3380CC4-5D6E-409C-BE32-E72D297353CC}">
              <c16:uniqueId val="{00000000-B5B5-447B-93B0-CA0CC40D4A8C}"/>
            </c:ext>
          </c:extLst>
        </c:ser>
        <c:dLbls>
          <c:dLblPos val="inEnd"/>
          <c:showLegendKey val="0"/>
          <c:showVal val="1"/>
          <c:showCatName val="0"/>
          <c:showSerName val="0"/>
          <c:showPercent val="0"/>
          <c:showBubbleSize val="0"/>
        </c:dLbls>
        <c:gapWidth val="115"/>
        <c:overlap val="-20"/>
        <c:axId val="1372857184"/>
        <c:axId val="1372853344"/>
      </c:barChart>
      <c:catAx>
        <c:axId val="13728571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2853344"/>
        <c:crosses val="autoZero"/>
        <c:auto val="1"/>
        <c:lblAlgn val="ctr"/>
        <c:lblOffset val="100"/>
        <c:noMultiLvlLbl val="0"/>
      </c:catAx>
      <c:valAx>
        <c:axId val="1372853344"/>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2857184"/>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ANNUAL AVG QUALITY OF INTEREST RATE FROM 1992-2021</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BACKROOM2_TEB!$C$27</c:f>
              <c:strCache>
                <c:ptCount val="1"/>
                <c:pt idx="0">
                  <c:v>INTEREST RATE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BACKROOM2_TEB!$A$28:$A$35</c:f>
              <c:strCache>
                <c:ptCount val="8"/>
                <c:pt idx="0">
                  <c:v>SouthAfrica</c:v>
                </c:pt>
                <c:pt idx="1">
                  <c:v>Germany</c:v>
                </c:pt>
                <c:pt idx="2">
                  <c:v>USA</c:v>
                </c:pt>
                <c:pt idx="3">
                  <c:v>Japan</c:v>
                </c:pt>
                <c:pt idx="4">
                  <c:v>Russia</c:v>
                </c:pt>
                <c:pt idx="5">
                  <c:v>Brazil</c:v>
                </c:pt>
                <c:pt idx="6">
                  <c:v>China</c:v>
                </c:pt>
                <c:pt idx="7">
                  <c:v>UK</c:v>
                </c:pt>
              </c:strCache>
            </c:strRef>
          </c:cat>
          <c:val>
            <c:numRef>
              <c:f>BACKROOM2_TEB!$C$28:$C$35</c:f>
              <c:numCache>
                <c:formatCode>0.00%</c:formatCode>
                <c:ptCount val="8"/>
                <c:pt idx="0">
                  <c:v>0.23877545500305564</c:v>
                </c:pt>
                <c:pt idx="1">
                  <c:v>0.2451629221066175</c:v>
                </c:pt>
                <c:pt idx="2">
                  <c:v>8.5570302186445124E-2</c:v>
                </c:pt>
                <c:pt idx="3">
                  <c:v>0.20988616748431096</c:v>
                </c:pt>
                <c:pt idx="4">
                  <c:v>1.7661116422336552E-2</c:v>
                </c:pt>
                <c:pt idx="5">
                  <c:v>0.16497939686272489</c:v>
                </c:pt>
                <c:pt idx="6">
                  <c:v>0.12039348165738746</c:v>
                </c:pt>
                <c:pt idx="7">
                  <c:v>0.1003441231541588</c:v>
                </c:pt>
              </c:numCache>
            </c:numRef>
          </c:val>
          <c:extLst>
            <c:ext xmlns:c16="http://schemas.microsoft.com/office/drawing/2014/chart" uri="{C3380CC4-5D6E-409C-BE32-E72D297353CC}">
              <c16:uniqueId val="{00000000-8EAB-4019-9FF9-DD5824F96615}"/>
            </c:ext>
          </c:extLst>
        </c:ser>
        <c:dLbls>
          <c:showLegendKey val="0"/>
          <c:showVal val="0"/>
          <c:showCatName val="0"/>
          <c:showSerName val="0"/>
          <c:showPercent val="0"/>
          <c:showBubbleSize val="0"/>
        </c:dLbls>
        <c:gapWidth val="100"/>
        <c:overlap val="-24"/>
        <c:axId val="727941967"/>
        <c:axId val="727939567"/>
      </c:barChart>
      <c:catAx>
        <c:axId val="7279419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7939567"/>
        <c:crosses val="autoZero"/>
        <c:auto val="1"/>
        <c:lblAlgn val="ctr"/>
        <c:lblOffset val="100"/>
        <c:noMultiLvlLbl val="0"/>
      </c:catAx>
      <c:valAx>
        <c:axId val="72793956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7941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hyperlink" Target="#'3. ANNUITIES'!O10"/><Relationship Id="rId2" Type="http://schemas.openxmlformats.org/officeDocument/2006/relationships/hyperlink" Target="#'2. SINGLE INVESTMENTS'!O10"/><Relationship Id="rId1" Type="http://schemas.openxmlformats.org/officeDocument/2006/relationships/hyperlink" Target="#'1. RATE CONVERTER'!O10"/><Relationship Id="rId6" Type="http://schemas.openxmlformats.org/officeDocument/2006/relationships/hyperlink" Target="#TEB!O10"/><Relationship Id="rId5" Type="http://schemas.openxmlformats.org/officeDocument/2006/relationships/hyperlink" Target="#'5. INCREASING ANNUITIES'!O10"/><Relationship Id="rId4" Type="http://schemas.openxmlformats.org/officeDocument/2006/relationships/hyperlink" Target="#'4.LOANS'!O10"/></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xdr:from>
      <xdr:col>2</xdr:col>
      <xdr:colOff>393700</xdr:colOff>
      <xdr:row>20</xdr:row>
      <xdr:rowOff>12700</xdr:rowOff>
    </xdr:from>
    <xdr:to>
      <xdr:col>4</xdr:col>
      <xdr:colOff>501650</xdr:colOff>
      <xdr:row>23</xdr:row>
      <xdr:rowOff>12700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ED1E834F-C27C-71CF-F0AB-320A467A47AA}"/>
            </a:ext>
          </a:extLst>
        </xdr:cNvPr>
        <xdr:cNvSpPr/>
      </xdr:nvSpPr>
      <xdr:spPr>
        <a:xfrm>
          <a:off x="1612900" y="3695700"/>
          <a:ext cx="1327150" cy="55245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ZA" sz="11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rPr>
            <a:t>RATE CONVERTER</a:t>
          </a:r>
        </a:p>
      </xdr:txBody>
    </xdr:sp>
    <xdr:clientData/>
  </xdr:twoCellAnchor>
  <xdr:twoCellAnchor>
    <xdr:from>
      <xdr:col>5</xdr:col>
      <xdr:colOff>57150</xdr:colOff>
      <xdr:row>19</xdr:row>
      <xdr:rowOff>177800</xdr:rowOff>
    </xdr:from>
    <xdr:to>
      <xdr:col>7</xdr:col>
      <xdr:colOff>165100</xdr:colOff>
      <xdr:row>22</xdr:row>
      <xdr:rowOff>177800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DE86313D-6A71-4A0D-82CB-F76FDDAC8D21}"/>
            </a:ext>
          </a:extLst>
        </xdr:cNvPr>
        <xdr:cNvSpPr/>
      </xdr:nvSpPr>
      <xdr:spPr>
        <a:xfrm>
          <a:off x="3105150" y="3676650"/>
          <a:ext cx="1327150" cy="55245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ZA" sz="11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rPr>
            <a:t>SINGLE INVESTMENT</a:t>
          </a:r>
        </a:p>
        <a:p>
          <a:pPr algn="ctr"/>
          <a:endParaRPr lang="en-ZA" sz="11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endParaRPr>
        </a:p>
      </xdr:txBody>
    </xdr:sp>
    <xdr:clientData/>
  </xdr:twoCellAnchor>
  <xdr:twoCellAnchor>
    <xdr:from>
      <xdr:col>7</xdr:col>
      <xdr:colOff>495300</xdr:colOff>
      <xdr:row>20</xdr:row>
      <xdr:rowOff>0</xdr:rowOff>
    </xdr:from>
    <xdr:to>
      <xdr:col>9</xdr:col>
      <xdr:colOff>603250</xdr:colOff>
      <xdr:row>23</xdr:row>
      <xdr:rowOff>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0A4EAF51-C62A-4251-916D-757706ED6502}"/>
            </a:ext>
          </a:extLst>
        </xdr:cNvPr>
        <xdr:cNvSpPr/>
      </xdr:nvSpPr>
      <xdr:spPr>
        <a:xfrm>
          <a:off x="4762500" y="3683000"/>
          <a:ext cx="1327150" cy="55245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ZA" sz="11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rPr>
            <a:t>ANNUITIES</a:t>
          </a:r>
        </a:p>
        <a:p>
          <a:pPr algn="ctr"/>
          <a:endParaRPr lang="en-ZA" sz="11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endParaRPr>
        </a:p>
      </xdr:txBody>
    </xdr:sp>
    <xdr:clientData/>
  </xdr:twoCellAnchor>
  <xdr:twoCellAnchor>
    <xdr:from>
      <xdr:col>10</xdr:col>
      <xdr:colOff>482600</xdr:colOff>
      <xdr:row>20</xdr:row>
      <xdr:rowOff>6350</xdr:rowOff>
    </xdr:from>
    <xdr:to>
      <xdr:col>12</xdr:col>
      <xdr:colOff>590550</xdr:colOff>
      <xdr:row>23</xdr:row>
      <xdr:rowOff>6350</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BFF7F32E-C076-4120-B0A2-A4218AC413AB}"/>
            </a:ext>
          </a:extLst>
        </xdr:cNvPr>
        <xdr:cNvSpPr/>
      </xdr:nvSpPr>
      <xdr:spPr>
        <a:xfrm>
          <a:off x="6578600" y="3689350"/>
          <a:ext cx="1327150" cy="55245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ZA" sz="11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rPr>
            <a:t>LOANS</a:t>
          </a:r>
        </a:p>
        <a:p>
          <a:pPr algn="ctr"/>
          <a:endParaRPr lang="en-ZA" sz="11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endParaRPr>
        </a:p>
      </xdr:txBody>
    </xdr:sp>
    <xdr:clientData/>
  </xdr:twoCellAnchor>
  <xdr:twoCellAnchor>
    <xdr:from>
      <xdr:col>13</xdr:col>
      <xdr:colOff>495300</xdr:colOff>
      <xdr:row>20</xdr:row>
      <xdr:rowOff>6350</xdr:rowOff>
    </xdr:from>
    <xdr:to>
      <xdr:col>15</xdr:col>
      <xdr:colOff>603250</xdr:colOff>
      <xdr:row>23</xdr:row>
      <xdr:rowOff>6350</xdr:rowOff>
    </xdr:to>
    <xdr:sp macro="" textlink="">
      <xdr:nvSpPr>
        <xdr:cNvPr id="6" name="Rectangle: Rounded Corners 5">
          <a:hlinkClick xmlns:r="http://schemas.openxmlformats.org/officeDocument/2006/relationships" r:id="rId5"/>
          <a:extLst>
            <a:ext uri="{FF2B5EF4-FFF2-40B4-BE49-F238E27FC236}">
              <a16:creationId xmlns:a16="http://schemas.microsoft.com/office/drawing/2014/main" id="{F8B4A4C4-D1AE-4C28-B55E-07070612DA90}"/>
            </a:ext>
          </a:extLst>
        </xdr:cNvPr>
        <xdr:cNvSpPr/>
      </xdr:nvSpPr>
      <xdr:spPr>
        <a:xfrm>
          <a:off x="8420100" y="3689350"/>
          <a:ext cx="1327150" cy="55245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ZA" sz="11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rPr>
            <a:t>INCREASING ANNUITIES</a:t>
          </a:r>
        </a:p>
        <a:p>
          <a:pPr algn="ctr"/>
          <a:endParaRPr lang="en-ZA" sz="11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endParaRPr>
        </a:p>
      </xdr:txBody>
    </xdr:sp>
    <xdr:clientData/>
  </xdr:twoCellAnchor>
  <xdr:twoCellAnchor>
    <xdr:from>
      <xdr:col>8</xdr:col>
      <xdr:colOff>469900</xdr:colOff>
      <xdr:row>24</xdr:row>
      <xdr:rowOff>19050</xdr:rowOff>
    </xdr:from>
    <xdr:to>
      <xdr:col>10</xdr:col>
      <xdr:colOff>577850</xdr:colOff>
      <xdr:row>27</xdr:row>
      <xdr:rowOff>19050</xdr:rowOff>
    </xdr:to>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E3AA1EC0-296D-4CC9-B889-517DEDEBCB5B}"/>
            </a:ext>
          </a:extLst>
        </xdr:cNvPr>
        <xdr:cNvSpPr/>
      </xdr:nvSpPr>
      <xdr:spPr>
        <a:xfrm>
          <a:off x="5346700" y="4438650"/>
          <a:ext cx="1327150" cy="552450"/>
        </a:xfrm>
        <a:prstGeom prst="roundRect">
          <a:avLst/>
        </a:prstGeom>
        <a:solidFill>
          <a:schemeClr val="tx2">
            <a:lumMod val="40000"/>
            <a:lumOff val="60000"/>
          </a:schemeClr>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ZA" sz="11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rPr>
            <a:t>THE EASY BROKER</a:t>
          </a:r>
        </a:p>
        <a:p>
          <a:pPr algn="ctr"/>
          <a:endParaRPr lang="en-ZA" sz="11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endParaRPr>
        </a:p>
        <a:p>
          <a:pPr algn="ctr"/>
          <a:endParaRPr lang="en-ZA" sz="11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endParaRPr>
        </a:p>
      </xdr:txBody>
    </xdr:sp>
    <xdr:clientData/>
  </xdr:twoCellAnchor>
  <xdr:twoCellAnchor>
    <xdr:from>
      <xdr:col>5</xdr:col>
      <xdr:colOff>38100</xdr:colOff>
      <xdr:row>1</xdr:row>
      <xdr:rowOff>146050</xdr:rowOff>
    </xdr:from>
    <xdr:to>
      <xdr:col>13</xdr:col>
      <xdr:colOff>330200</xdr:colOff>
      <xdr:row>7</xdr:row>
      <xdr:rowOff>50800</xdr:rowOff>
    </xdr:to>
    <xdr:sp macro="" textlink="">
      <xdr:nvSpPr>
        <xdr:cNvPr id="12" name="Rectangle: Rounded Corners 11">
          <a:extLst>
            <a:ext uri="{FF2B5EF4-FFF2-40B4-BE49-F238E27FC236}">
              <a16:creationId xmlns:a16="http://schemas.microsoft.com/office/drawing/2014/main" id="{572CA9CC-E1EF-1B25-177E-B1077A231A50}"/>
            </a:ext>
          </a:extLst>
        </xdr:cNvPr>
        <xdr:cNvSpPr/>
      </xdr:nvSpPr>
      <xdr:spPr>
        <a:xfrm>
          <a:off x="3086100" y="330200"/>
          <a:ext cx="5168900" cy="100965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latin typeface="Agency FB" panose="020B0503020202020204" pitchFamily="34" charset="0"/>
            </a:rPr>
            <a:t>SIMON</a:t>
          </a:r>
          <a:r>
            <a:rPr lang="en-ZA" sz="1100" baseline="0">
              <a:latin typeface="Agency FB" panose="020B0503020202020204" pitchFamily="34" charset="0"/>
            </a:rPr>
            <a:t> MOTLHODIMANG</a:t>
          </a:r>
        </a:p>
        <a:p>
          <a:pPr algn="ctr"/>
          <a:r>
            <a:rPr lang="en-ZA" sz="1100" baseline="0">
              <a:latin typeface="Agency FB" panose="020B0503020202020204" pitchFamily="34" charset="0"/>
            </a:rPr>
            <a:t>48581275</a:t>
          </a:r>
        </a:p>
        <a:p>
          <a:pPr algn="ctr"/>
          <a:endParaRPr lang="en-ZA" sz="1100" baseline="0">
            <a:latin typeface="Agency FB" panose="020B0503020202020204" pitchFamily="34" charset="0"/>
          </a:endParaRPr>
        </a:p>
        <a:p>
          <a:pPr algn="ctr"/>
          <a:r>
            <a:rPr lang="en-ZA" sz="1600">
              <a:solidFill>
                <a:schemeClr val="accent5">
                  <a:lumMod val="75000"/>
                </a:schemeClr>
              </a:solidFill>
              <a:latin typeface="Agency FB" panose="020B0503020202020204" pitchFamily="34" charset="0"/>
            </a:rPr>
            <a:t>INTEREST CALCULATOR</a:t>
          </a:r>
        </a:p>
      </xdr:txBody>
    </xdr:sp>
    <xdr:clientData/>
  </xdr:twoCellAnchor>
  <xdr:twoCellAnchor>
    <xdr:from>
      <xdr:col>3</xdr:col>
      <xdr:colOff>165100</xdr:colOff>
      <xdr:row>7</xdr:row>
      <xdr:rowOff>171450</xdr:rowOff>
    </xdr:from>
    <xdr:to>
      <xdr:col>15</xdr:col>
      <xdr:colOff>444500</xdr:colOff>
      <xdr:row>18</xdr:row>
      <xdr:rowOff>171450</xdr:rowOff>
    </xdr:to>
    <xdr:sp macro="" textlink="">
      <xdr:nvSpPr>
        <xdr:cNvPr id="13" name="Rectangle: Rounded Corners 12">
          <a:extLst>
            <a:ext uri="{FF2B5EF4-FFF2-40B4-BE49-F238E27FC236}">
              <a16:creationId xmlns:a16="http://schemas.microsoft.com/office/drawing/2014/main" id="{1D92E1A9-9D09-4C44-AA56-8B58D97D1138}"/>
            </a:ext>
          </a:extLst>
        </xdr:cNvPr>
        <xdr:cNvSpPr/>
      </xdr:nvSpPr>
      <xdr:spPr>
        <a:xfrm>
          <a:off x="1993900" y="1460500"/>
          <a:ext cx="7594600" cy="202565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600" baseline="0">
              <a:latin typeface="Agency FB" panose="020B0503020202020204" pitchFamily="34" charset="0"/>
            </a:rPr>
            <a:t>The Interest Rate Calculator is a powerful financial tool designed to help individuals quickly and accurately estimate the growth of their investments over time. By using basic inputs such as the initial amount, interest rate, and investment duration, the calculator computes the future value of an investment or loan. Whether you are assessing simple or compound interest, or evaluating investments like annuities or single deposits, this tool provides valuable insights into how your money can grow. With an interest calculator, you can make informed financial decisions, plan for the future, and optimize your investment strategies. Let's get started. Choose anyone of the links below.</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634999</xdr:colOff>
      <xdr:row>3</xdr:row>
      <xdr:rowOff>15874</xdr:rowOff>
    </xdr:from>
    <xdr:to>
      <xdr:col>16</xdr:col>
      <xdr:colOff>119061</xdr:colOff>
      <xdr:row>16</xdr:row>
      <xdr:rowOff>219074</xdr:rowOff>
    </xdr:to>
    <xdr:graphicFrame macro="">
      <xdr:nvGraphicFramePr>
        <xdr:cNvPr id="3" name="Chart 2">
          <a:extLst>
            <a:ext uri="{FF2B5EF4-FFF2-40B4-BE49-F238E27FC236}">
              <a16:creationId xmlns:a16="http://schemas.microsoft.com/office/drawing/2014/main" id="{C88FD08A-D46C-4F8D-B913-D8CEB9669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14</xdr:col>
      <xdr:colOff>668421</xdr:colOff>
      <xdr:row>13</xdr:row>
      <xdr:rowOff>22281</xdr:rowOff>
    </xdr:from>
    <xdr:to>
      <xdr:col>16</xdr:col>
      <xdr:colOff>735263</xdr:colOff>
      <xdr:row>21</xdr:row>
      <xdr:rowOff>167105</xdr:rowOff>
    </xdr:to>
    <xdr:cxnSp macro="">
      <xdr:nvCxnSpPr>
        <xdr:cNvPr id="6" name="Straight Connector 5">
          <a:extLst>
            <a:ext uri="{FF2B5EF4-FFF2-40B4-BE49-F238E27FC236}">
              <a16:creationId xmlns:a16="http://schemas.microsoft.com/office/drawing/2014/main" id="{726C0DFF-EB1C-0DAA-ADFA-85616EE93489}"/>
            </a:ext>
          </a:extLst>
        </xdr:cNvPr>
        <xdr:cNvCxnSpPr/>
      </xdr:nvCxnSpPr>
      <xdr:spPr>
        <a:xfrm flipH="1">
          <a:off x="13903158" y="2350614"/>
          <a:ext cx="2228070" cy="172675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735263</xdr:colOff>
      <xdr:row>13</xdr:row>
      <xdr:rowOff>0</xdr:rowOff>
    </xdr:from>
    <xdr:to>
      <xdr:col>16</xdr:col>
      <xdr:colOff>735263</xdr:colOff>
      <xdr:row>22</xdr:row>
      <xdr:rowOff>77982</xdr:rowOff>
    </xdr:to>
    <xdr:cxnSp macro="">
      <xdr:nvCxnSpPr>
        <xdr:cNvPr id="7" name="Straight Connector 6">
          <a:extLst>
            <a:ext uri="{FF2B5EF4-FFF2-40B4-BE49-F238E27FC236}">
              <a16:creationId xmlns:a16="http://schemas.microsoft.com/office/drawing/2014/main" id="{153F4375-F54E-4C84-BCF9-4B9C427362B9}"/>
            </a:ext>
          </a:extLst>
        </xdr:cNvPr>
        <xdr:cNvCxnSpPr/>
      </xdr:nvCxnSpPr>
      <xdr:spPr>
        <a:xfrm>
          <a:off x="16131228" y="2328333"/>
          <a:ext cx="0" cy="1838158"/>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8818</xdr:colOff>
      <xdr:row>0</xdr:row>
      <xdr:rowOff>8819</xdr:rowOff>
    </xdr:from>
    <xdr:to>
      <xdr:col>2</xdr:col>
      <xdr:colOff>502706</xdr:colOff>
      <xdr:row>25</xdr:row>
      <xdr:rowOff>38615</xdr:rowOff>
    </xdr:to>
    <xdr:pic>
      <xdr:nvPicPr>
        <xdr:cNvPr id="5" name="Picture 4">
          <a:extLst>
            <a:ext uri="{FF2B5EF4-FFF2-40B4-BE49-F238E27FC236}">
              <a16:creationId xmlns:a16="http://schemas.microsoft.com/office/drawing/2014/main" id="{B9FF5780-61AD-EFCC-F234-622B9865B3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18" y="8819"/>
          <a:ext cx="5150555" cy="4762500"/>
        </a:xfrm>
        <a:prstGeom prst="rect">
          <a:avLst/>
        </a:prstGeom>
      </xdr:spPr>
    </xdr:pic>
    <xdr:clientData/>
  </xdr:twoCellAnchor>
  <xdr:twoCellAnchor>
    <xdr:from>
      <xdr:col>5</xdr:col>
      <xdr:colOff>161418</xdr:colOff>
      <xdr:row>29</xdr:row>
      <xdr:rowOff>12960</xdr:rowOff>
    </xdr:from>
    <xdr:to>
      <xdr:col>10</xdr:col>
      <xdr:colOff>363908</xdr:colOff>
      <xdr:row>44</xdr:row>
      <xdr:rowOff>49384</xdr:rowOff>
    </xdr:to>
    <xdr:graphicFrame macro="">
      <xdr:nvGraphicFramePr>
        <xdr:cNvPr id="6" name="Chart 5">
          <a:extLst>
            <a:ext uri="{FF2B5EF4-FFF2-40B4-BE49-F238E27FC236}">
              <a16:creationId xmlns:a16="http://schemas.microsoft.com/office/drawing/2014/main" id="{EAEB14E1-082F-4EDD-AAFB-5D40C99C61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22</xdr:col>
      <xdr:colOff>554004</xdr:colOff>
      <xdr:row>13</xdr:row>
      <xdr:rowOff>161341</xdr:rowOff>
    </xdr:from>
    <xdr:to>
      <xdr:col>22</xdr:col>
      <xdr:colOff>599723</xdr:colOff>
      <xdr:row>14</xdr:row>
      <xdr:rowOff>19817</xdr:rowOff>
    </xdr:to>
    <xdr:sp macro="" textlink="">
      <xdr:nvSpPr>
        <xdr:cNvPr id="4" name="TextBox 3">
          <a:extLst>
            <a:ext uri="{FF2B5EF4-FFF2-40B4-BE49-F238E27FC236}">
              <a16:creationId xmlns:a16="http://schemas.microsoft.com/office/drawing/2014/main" id="{01116632-A766-49A7-838C-D3CD893944D2}"/>
            </a:ext>
          </a:extLst>
        </xdr:cNvPr>
        <xdr:cNvSpPr txBox="1"/>
      </xdr:nvSpPr>
      <xdr:spPr>
        <a:xfrm flipH="1" flipV="1">
          <a:off x="8472454" y="5742991"/>
          <a:ext cx="45719" cy="42626"/>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400">
              <a:solidFill>
                <a:schemeClr val="bg2"/>
              </a:solidFill>
            </a:rPr>
            <a:t>CALCULATOR</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7b7b30fb699582ac/Documents/48581275/3.%20Financial%20Mathematics/BWIA121/Final%20Assignment/Left%20Over%20bit&#128514;.xlsx" TargetMode="External"/><Relationship Id="rId1" Type="http://schemas.openxmlformats.org/officeDocument/2006/relationships/externalLinkPath" Target="Left%20Over%20bit&#12851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rom SI"/>
    </sheetNames>
    <sheetDataSet>
      <sheetData sheetId="0">
        <row r="4">
          <cell r="D4">
            <v>400</v>
          </cell>
        </row>
        <row r="5">
          <cell r="D5">
            <v>0.10517091807564771</v>
          </cell>
        </row>
        <row r="6">
          <cell r="D6">
            <v>8</v>
          </cell>
        </row>
      </sheetData>
    </sheetDataSet>
  </externalBook>
</externalLink>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
  <rv s="0">
    <v>en-ZA</v>
    <v>avysvh</v>
    <v>268435456</v>
    <v>1</v>
    <v>Powered by Refinitiv</v>
    <v>0</v>
    <v>USD/ZAR</v>
    <v>2</v>
    <v>3</v>
    <v>Finance</v>
    <v>4</v>
    <v>19.638000000000002</v>
    <v>17.6675</v>
    <v>0.1661</v>
    <v>9.3159999999999996E-3</v>
    <v>ZAR</v>
    <v>USD</v>
    <v>18.057700000000001</v>
    <v>Currency Pair</v>
    <v>45526.623576388891</v>
    <v>17.843599999999999</v>
    <v>US Dollar/South African Rand FX Spot Rate</v>
    <v>17.8429</v>
    <v>17.8293</v>
    <v>17.9954</v>
    <v>USDZAR</v>
    <v>USD/ZAR</v>
  </rv>
  <rv s="1">
    <v>0</v>
  </rv>
</rvData>
</file>

<file path=xl/richData/rdrichvaluestructure.xml><?xml version="1.0" encoding="utf-8"?>
<rvStructures xmlns="http://schemas.microsoft.com/office/spreadsheetml/2017/richdata" count="2">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s t="_linkedentity">
    <k n="%cvi" t="r"/>
  </s>
</rvStructures>
</file>

<file path=xl/richData/rdsupportingpropertybag.xml><?xml version="1.0" encoding="utf-8"?>
<supportingPropertyBags xmlns="http://schemas.microsoft.com/office/spreadsheetml/2017/richdata2">
  <spbArrays count="1">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spbArrays>
  <spbData count="5">
    <spb s="0">
      <v>0</v>
      <v>Name</v>
    </spb>
    <spb s="1">
      <v>0</v>
      <v>0</v>
      <v>0</v>
    </spb>
    <spb s="2">
      <v>1</v>
      <v>1</v>
    </spb>
    <spb s="3">
      <v>1</v>
      <v>1</v>
      <v>2</v>
      <v>1</v>
      <v>1</v>
      <v>1</v>
      <v>3</v>
      <v>1</v>
      <v>1</v>
      <v>1</v>
      <v>4</v>
      <v>5</v>
    </spb>
    <spb s="4">
      <v>GMT</v>
    </spb>
  </spbData>
</supportingPropertyBags>
</file>

<file path=xl/richData/rdsupportingpropertybagstructure.xml><?xml version="1.0" encoding="utf-8"?>
<spbStructures xmlns="http://schemas.microsoft.com/office/spreadsheetml/2017/richdata2" count="5">
  <s>
    <k n="^Order" t="spba"/>
    <k n="TitleProperty" t="s"/>
  </s>
  <s>
    <k n="ShowInCardView" t="b"/>
    <k n="ShowInDotNotation" t="b"/>
    <k n="ShowInAutoComplete" t="b"/>
  </s>
  <s>
    <k n="UniqueName" t="spb"/>
    <k n="`%ProviderInfo" t="spb"/>
  </s>
  <s>
    <k n="Low" t="i"/>
    <k n="High" t="i"/>
    <k n="Name" t="i"/>
    <k n="Open" t="i"/>
    <k n="Price" t="i"/>
    <k n="Change" t="i"/>
    <k n="Change (%)" t="i"/>
    <k n="52 week low" t="i"/>
    <k n="52 week high" t="i"/>
    <k n="Previous close" t="i"/>
    <k n="Last trade time" t="i"/>
    <k n="`%EntityServiceId" t="i"/>
  </s>
  <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4">
    <x:dxf>
      <x:numFmt numFmtId="2" formatCode="0.00"/>
    </x:dxf>
    <x:dxf>
      <x:numFmt numFmtId="0" formatCode="General"/>
    </x:dxf>
    <x:dxf>
      <x:numFmt numFmtId="27" formatCode="yyyy/mm/dd\ hh:mm"/>
    </x:dxf>
    <x:dxf>
      <x:numFmt numFmtId="14" formatCode="0.00%"/>
    </x:dxf>
  </dxfs>
  <richProperties>
    <rPr n="NumberFormat" t="s"/>
    <rPr n="IsTitleField" t="b"/>
  </richProperties>
  <richStyles>
    <rSty dxfid="1">
      <rpv i="0">_-[$R-en-ZA]* #,##0.00_-;-[$R-en-ZA]* #,##0.00_-;_-[$R-en-ZA]* "-"??_-;_-@_-</rpv>
    </rSty>
    <rSty>
      <rpv i="1">1</rpv>
    </rSty>
    <rSty dxfid="3"/>
    <rSty dxfid="2"/>
    <rSty dxfid="0">
      <rpv i="0">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370681-8637-4E87-A5F1-BD024A3A7A20}" name="Table1" displayName="Table1" ref="O1:R51" totalsRowShown="0" headerRowDxfId="5">
  <autoFilter ref="O1:R51" xr:uid="{AC370681-8637-4E87-A5F1-BD024A3A7A20}"/>
  <tableColumns count="4">
    <tableColumn id="1" xr3:uid="{870630E2-717E-46FE-A75D-6267054553E1}" name="COUNTRY"/>
    <tableColumn id="2" xr3:uid="{2222810E-5357-49E0-8F87-AB9ED03A9695}" name="COMPANY"/>
    <tableColumn id="3" xr3:uid="{919AE9FB-0757-4CD5-8921-BBA90E390A8E}" name="EXCHANGEMARKET"/>
    <tableColumn id="4" xr3:uid="{991488BF-3366-4819-87B6-E166A27E1F58}" name="RATE/share" dataDxf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51C13F-306B-46D2-BF67-8711A312AAC0}" name="Table2" displayName="Table2" ref="A1:H12" totalsRowShown="0">
  <autoFilter ref="A1:H12" xr:uid="{AA51C13F-306B-46D2-BF67-8711A312AAC0}"/>
  <tableColumns count="8">
    <tableColumn id="1" xr3:uid="{31D84243-73B5-4632-8035-828CEB1FBA43}" name="SouthAfrica"/>
    <tableColumn id="2" xr3:uid="{45064FFC-4E7F-453B-B702-88D8DD02AF5E}" name="Germany" dataDxfId="3"/>
    <tableColumn id="3" xr3:uid="{1114B9CA-CF1C-4280-A0C7-2459F315A5FA}" name="USA"/>
    <tableColumn id="4" xr3:uid="{01F88634-6798-401B-8694-E6073FD88543}" name="Japan"/>
    <tableColumn id="5" xr3:uid="{D928B155-5473-4074-B076-959F719D397E}" name="Russia"/>
    <tableColumn id="6" xr3:uid="{D1715BB4-71EE-43D4-8BE0-0E7F45D95B62}" name="Brazil"/>
    <tableColumn id="7" xr3:uid="{880E6A59-86C7-43C6-A514-711071B54DA8}" name="China"/>
    <tableColumn id="8" xr3:uid="{20E1EFB0-FB7A-4523-BA55-37A972987F2D}" name="UK"/>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9E01F9-5C6B-4C81-8C00-C2BFE476F07D}" name="Table3" displayName="Table3" ref="K1:R12" totalsRowShown="0">
  <autoFilter ref="K1:R12" xr:uid="{FA9E01F9-5C6B-4C81-8C00-C2BFE476F07D}"/>
  <tableColumns count="8">
    <tableColumn id="1" xr3:uid="{A5C9FED5-0D67-4621-8BF5-2282A335C624}" name="JSE" dataDxfId="2"/>
    <tableColumn id="2" xr3:uid="{57DC7F3D-B867-4D71-8B97-F3AA48C06F25}" name="FSE"/>
    <tableColumn id="3" xr3:uid="{BBDC4693-8BFA-4F4E-BA98-AEE20444B70B}" name="Nasdaq" dataDxfId="1"/>
    <tableColumn id="4" xr3:uid="{60D475EF-713F-4633-BCAB-00F61B73FA26}" name="TSE"/>
    <tableColumn id="5" xr3:uid="{97CFA189-9616-4B8A-8700-4BA246B75716}" name="MOEX"/>
    <tableColumn id="6" xr3:uid="{65FE5A15-F92C-43E6-B843-CDAAFCBAB384}" name="BM"/>
    <tableColumn id="7" xr3:uid="{6CED4F68-91C8-4CF2-A8DC-0624471075A1}" name="SSE"/>
    <tableColumn id="8" xr3:uid="{D1178BB2-6CD8-4902-AEE1-A9E19ED08BB8}" name="LS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EB7BC66-5B19-4CBA-8D61-B09A1019F094}" name="Table4" displayName="Table4" ref="A27:C35" totalsRowShown="0">
  <autoFilter ref="A27:C35" xr:uid="{6EB7BC66-5B19-4CBA-8D61-B09A1019F094}"/>
  <tableColumns count="3">
    <tableColumn id="1" xr3:uid="{FA995CBC-C9A6-456B-A6B1-B17AD8AF6F17}" name="COUNTRY"/>
    <tableColumn id="2" xr3:uid="{5936682D-2516-4C46-8617-6BC44B835EC6}" name="AVERAGE ANNUAL INTEREST RATE (&gt;15yrs)"/>
    <tableColumn id="3" xr3:uid="{00BE4EE2-51FE-4944-A7BB-8052C7C5A133}" name="INTEREST RATE" dataDxfId="0"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image" Target="../media/image1.jpeg"/></Relationships>
</file>

<file path=xl/worksheets/_rels/sheet3.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image" Target="../media/image1.jpeg"/></Relationships>
</file>

<file path=xl/worksheets/_rels/sheet6.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image" Target="../media/image1.jpeg"/><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ED965-91CF-460E-8494-4D6636400F66}">
  <sheetPr>
    <tabColor theme="8" tint="-0.499984740745262"/>
  </sheetPr>
  <dimension ref="A1"/>
  <sheetViews>
    <sheetView zoomScale="82" workbookViewId="0">
      <selection activeCell="C8" sqref="C8"/>
    </sheetView>
  </sheetViews>
  <sheetFormatPr defaultRowHeight="14.5" x14ac:dyDescent="0.35"/>
  <sheetData/>
  <pageMargins left="0.7" right="0.7" top="0.75" bottom="0.75" header="0.3" footer="0.3"/>
  <drawing r:id="rId1"/>
  <pictur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BD8F1-9C8C-41A1-83D5-B9BD90A43A2C}">
  <sheetPr>
    <tabColor theme="8" tint="-0.499984740745262"/>
  </sheetPr>
  <dimension ref="A1:AN17"/>
  <sheetViews>
    <sheetView topLeftCell="J3" zoomScale="91" workbookViewId="0">
      <selection activeCell="O17" sqref="O17:R17"/>
    </sheetView>
  </sheetViews>
  <sheetFormatPr defaultRowHeight="13.5" x14ac:dyDescent="0.25"/>
  <cols>
    <col min="1" max="10" width="8.7265625" style="54"/>
    <col min="11" max="11" width="11.36328125" style="54" bestFit="1" customWidth="1"/>
    <col min="12" max="12" width="16.6328125" style="54" customWidth="1"/>
    <col min="13" max="13" width="19.6328125" style="54" bestFit="1" customWidth="1"/>
    <col min="14" max="14" width="8.7265625" style="54"/>
    <col min="15" max="15" width="10.36328125" style="54" bestFit="1" customWidth="1"/>
    <col min="16" max="16" width="21.81640625" style="54" bestFit="1" customWidth="1"/>
    <col min="17" max="17" width="8.7265625" style="54"/>
    <col min="18" max="18" width="21.81640625" style="54" bestFit="1" customWidth="1"/>
    <col min="19" max="23" width="8.81640625" style="54" bestFit="1" customWidth="1"/>
    <col min="24" max="24" width="14.1796875" style="54" bestFit="1" customWidth="1"/>
    <col min="25" max="38" width="8.7265625" style="54"/>
    <col min="39" max="39" width="13.81640625" style="54" customWidth="1"/>
    <col min="40" max="16384" width="8.7265625" style="54"/>
  </cols>
  <sheetData>
    <row r="1" spans="1:40" x14ac:dyDescent="0.25">
      <c r="A1" s="88"/>
      <c r="B1" s="88"/>
      <c r="C1" s="88"/>
      <c r="D1" s="88"/>
      <c r="E1" s="1"/>
      <c r="F1" s="1"/>
      <c r="G1" s="1"/>
      <c r="H1" s="1"/>
      <c r="I1" s="1"/>
      <c r="J1" s="1"/>
      <c r="K1" s="1"/>
      <c r="L1" s="1"/>
      <c r="M1" s="1"/>
      <c r="N1" s="1"/>
      <c r="O1" s="1"/>
      <c r="P1" s="1"/>
      <c r="Q1" s="1"/>
      <c r="R1" s="1"/>
      <c r="S1" s="1"/>
      <c r="T1" s="1"/>
      <c r="U1" s="1"/>
      <c r="V1" s="1"/>
      <c r="W1" s="1"/>
      <c r="X1" s="1"/>
      <c r="Y1" s="1"/>
      <c r="Z1" s="1"/>
      <c r="AA1" s="1"/>
      <c r="AB1" s="1"/>
      <c r="AC1" s="1"/>
      <c r="AD1" s="1"/>
      <c r="AE1" s="1"/>
      <c r="AF1" s="1"/>
    </row>
    <row r="2" spans="1:40" x14ac:dyDescent="0.25">
      <c r="A2" s="1"/>
      <c r="B2" s="1"/>
      <c r="C2" s="1"/>
      <c r="D2" s="1"/>
      <c r="E2" s="1"/>
      <c r="F2" s="1"/>
      <c r="G2" s="1"/>
      <c r="H2" s="1"/>
      <c r="I2" s="1"/>
      <c r="J2" s="1"/>
      <c r="K2" s="1"/>
      <c r="L2" s="1"/>
      <c r="M2" s="1"/>
      <c r="N2" s="1"/>
      <c r="O2" s="1"/>
      <c r="P2" s="1"/>
      <c r="Q2" s="1"/>
      <c r="R2" s="1"/>
      <c r="Y2" s="1"/>
      <c r="Z2" s="1"/>
      <c r="AA2" s="1"/>
      <c r="AB2" s="1"/>
      <c r="AC2" s="1"/>
      <c r="AD2" s="1"/>
      <c r="AE2" s="1"/>
      <c r="AF2" s="1"/>
    </row>
    <row r="3" spans="1:40" x14ac:dyDescent="0.25">
      <c r="A3" s="1"/>
      <c r="B3" s="1"/>
      <c r="C3" s="1"/>
      <c r="D3" s="1"/>
      <c r="E3" s="1"/>
      <c r="F3" s="1"/>
      <c r="G3" s="1"/>
      <c r="H3" s="1"/>
      <c r="I3" s="1"/>
      <c r="J3" s="1"/>
      <c r="K3" s="1"/>
      <c r="L3" s="1"/>
      <c r="M3" s="1"/>
      <c r="N3" s="1"/>
      <c r="O3" s="1"/>
      <c r="P3" s="1"/>
      <c r="Q3" s="1"/>
      <c r="R3" s="1"/>
      <c r="Y3" s="1"/>
      <c r="Z3" s="1"/>
      <c r="AA3" s="1"/>
      <c r="AB3" s="1"/>
      <c r="AC3" s="1"/>
      <c r="AD3" s="1"/>
      <c r="AE3" s="1"/>
      <c r="AF3" s="1"/>
    </row>
    <row r="4" spans="1:40" x14ac:dyDescent="0.25">
      <c r="A4" s="1"/>
      <c r="B4" s="1"/>
      <c r="C4" s="1"/>
      <c r="D4" s="1"/>
      <c r="E4" s="1"/>
      <c r="F4" s="1"/>
      <c r="G4" s="1"/>
      <c r="H4" s="1"/>
      <c r="I4" s="1"/>
      <c r="J4" s="1"/>
      <c r="K4" s="1"/>
      <c r="L4" s="1"/>
      <c r="M4" s="1"/>
      <c r="N4" s="1"/>
      <c r="O4" s="1"/>
      <c r="P4" s="1"/>
      <c r="Q4" s="1"/>
      <c r="R4" s="1"/>
      <c r="Y4" s="1"/>
      <c r="Z4" s="1"/>
      <c r="AA4" s="1"/>
      <c r="AB4" s="1"/>
      <c r="AC4" s="1"/>
      <c r="AD4" s="1"/>
      <c r="AE4" s="1"/>
      <c r="AF4" s="1"/>
    </row>
    <row r="5" spans="1:40" x14ac:dyDescent="0.25">
      <c r="A5" s="1"/>
      <c r="B5" s="1"/>
      <c r="C5" s="1"/>
      <c r="D5" s="1"/>
      <c r="E5" s="1"/>
      <c r="F5" s="1"/>
      <c r="G5" s="1"/>
      <c r="H5" s="1"/>
      <c r="I5" s="1"/>
      <c r="N5" s="1"/>
      <c r="O5" s="1"/>
      <c r="P5" s="1"/>
      <c r="Q5" s="1"/>
      <c r="R5" s="1"/>
      <c r="Y5" s="1"/>
      <c r="Z5" s="1"/>
      <c r="AA5" s="1"/>
      <c r="AB5" s="1"/>
      <c r="AC5" s="1"/>
      <c r="AD5" s="1"/>
      <c r="AE5" s="1"/>
      <c r="AF5" s="1"/>
    </row>
    <row r="6" spans="1:40" x14ac:dyDescent="0.25">
      <c r="A6" s="1"/>
      <c r="B6" s="1"/>
      <c r="C6" s="1"/>
      <c r="D6" s="1"/>
      <c r="E6" s="1"/>
      <c r="F6" s="1"/>
      <c r="G6" s="1"/>
      <c r="H6" s="1"/>
      <c r="I6" s="1"/>
      <c r="N6" s="1"/>
      <c r="O6" s="1"/>
      <c r="P6" s="1"/>
      <c r="Q6" s="1"/>
      <c r="R6" s="1"/>
      <c r="Y6" s="1"/>
      <c r="Z6" s="1"/>
      <c r="AA6" s="1"/>
      <c r="AB6" s="1"/>
      <c r="AC6" s="1"/>
      <c r="AD6" s="1"/>
      <c r="AE6" s="1"/>
      <c r="AF6" s="1"/>
    </row>
    <row r="7" spans="1:40" x14ac:dyDescent="0.25">
      <c r="A7" s="1"/>
      <c r="B7" s="1"/>
      <c r="C7" s="1"/>
      <c r="D7" s="1"/>
      <c r="E7" s="1"/>
      <c r="F7" s="1"/>
      <c r="G7" s="1"/>
      <c r="H7" s="1"/>
      <c r="I7" s="1"/>
      <c r="N7" s="1"/>
      <c r="O7" s="1"/>
      <c r="P7" s="1"/>
      <c r="Q7" s="1"/>
      <c r="R7" s="1"/>
      <c r="Y7" s="1"/>
      <c r="Z7" s="1"/>
      <c r="AA7" s="1"/>
      <c r="AB7" s="1"/>
      <c r="AC7" s="1"/>
      <c r="AD7" s="1"/>
      <c r="AE7" s="1"/>
      <c r="AF7" s="1"/>
    </row>
    <row r="8" spans="1:40" x14ac:dyDescent="0.25">
      <c r="A8" s="1"/>
      <c r="B8" s="1"/>
      <c r="C8" s="1"/>
      <c r="D8" s="1"/>
      <c r="E8" s="1"/>
      <c r="F8" s="1"/>
      <c r="G8" s="1"/>
      <c r="H8" s="1"/>
      <c r="I8" s="1"/>
      <c r="N8" s="1"/>
      <c r="O8" s="1"/>
      <c r="P8" s="1"/>
      <c r="Q8" s="1"/>
      <c r="R8" s="1"/>
      <c r="Y8" s="1"/>
      <c r="Z8" s="1"/>
      <c r="AA8" s="1"/>
      <c r="AB8" s="1"/>
      <c r="AC8" s="1"/>
      <c r="AD8" s="1"/>
      <c r="AE8" s="1"/>
      <c r="AF8" s="1"/>
    </row>
    <row r="9" spans="1:40" ht="14" thickBot="1" x14ac:dyDescent="0.3">
      <c r="A9" s="1"/>
      <c r="B9" s="1"/>
      <c r="C9" s="1"/>
      <c r="D9" s="1"/>
      <c r="E9" s="1"/>
      <c r="F9" s="1"/>
      <c r="G9" s="1"/>
      <c r="H9" s="1"/>
      <c r="I9" s="1"/>
      <c r="N9" s="1"/>
      <c r="O9" s="1"/>
      <c r="P9" s="1"/>
      <c r="Q9" s="1"/>
      <c r="R9" s="1"/>
      <c r="Y9" s="1"/>
      <c r="Z9" s="1"/>
      <c r="AA9" s="1"/>
      <c r="AB9" s="1"/>
      <c r="AC9" s="1"/>
      <c r="AD9" s="1"/>
      <c r="AE9" s="1"/>
      <c r="AF9" s="1"/>
    </row>
    <row r="10" spans="1:40" ht="14" thickBot="1" x14ac:dyDescent="0.3">
      <c r="A10" s="1"/>
      <c r="B10" s="1"/>
      <c r="C10" s="1"/>
      <c r="D10" s="1"/>
      <c r="E10" s="1"/>
      <c r="F10" s="1"/>
      <c r="G10" s="1"/>
      <c r="H10" s="1"/>
      <c r="I10" s="1"/>
      <c r="N10" s="1"/>
      <c r="O10" s="273" t="s">
        <v>47</v>
      </c>
      <c r="P10" s="274"/>
      <c r="Q10" s="275" t="s">
        <v>48</v>
      </c>
      <c r="R10" s="276"/>
      <c r="Y10" s="1"/>
      <c r="Z10" s="1"/>
      <c r="AA10" s="1"/>
      <c r="AB10" s="1"/>
      <c r="AC10" s="1"/>
      <c r="AD10" s="1"/>
      <c r="AE10" s="1"/>
      <c r="AF10" s="1"/>
    </row>
    <row r="11" spans="1:40" ht="18.5" x14ac:dyDescent="0.35">
      <c r="A11" s="1"/>
      <c r="B11" s="1"/>
      <c r="C11" s="1"/>
      <c r="D11" s="1"/>
      <c r="E11" s="1"/>
      <c r="F11" s="1"/>
      <c r="G11" s="1"/>
      <c r="H11" s="1"/>
      <c r="I11" s="1"/>
      <c r="N11" s="1"/>
      <c r="O11" s="89" t="s">
        <v>50</v>
      </c>
      <c r="P11" s="65">
        <v>0.08</v>
      </c>
      <c r="Q11" s="66"/>
      <c r="R11" s="67"/>
      <c r="Y11" s="1"/>
      <c r="Z11" s="1"/>
      <c r="AA11" s="1"/>
      <c r="AB11" s="1"/>
      <c r="AC11" s="1"/>
      <c r="AD11" s="1"/>
      <c r="AE11" s="1"/>
      <c r="AF11" s="1"/>
    </row>
    <row r="12" spans="1:40" ht="18.5" x14ac:dyDescent="0.35">
      <c r="A12" s="1"/>
      <c r="B12" s="1"/>
      <c r="C12" s="1"/>
      <c r="D12" s="1"/>
      <c r="E12" s="1"/>
      <c r="F12" s="1"/>
      <c r="G12" s="1"/>
      <c r="H12" s="1"/>
      <c r="I12" s="1"/>
      <c r="J12" s="1"/>
      <c r="K12" s="1"/>
      <c r="L12" s="1"/>
      <c r="M12" s="1"/>
      <c r="N12" s="1"/>
      <c r="O12" s="90" t="s">
        <v>52</v>
      </c>
      <c r="P12" s="66">
        <v>4</v>
      </c>
      <c r="Q12" s="66" t="s">
        <v>52</v>
      </c>
      <c r="R12" s="72">
        <v>1</v>
      </c>
      <c r="Y12" s="1"/>
      <c r="Z12" s="1"/>
      <c r="AA12" s="1"/>
      <c r="AB12" s="1"/>
      <c r="AC12" s="1"/>
      <c r="AD12" s="1"/>
      <c r="AE12" s="1"/>
      <c r="AF12" s="1"/>
    </row>
    <row r="13" spans="1:40" ht="18.5" x14ac:dyDescent="0.35">
      <c r="A13" s="1"/>
      <c r="B13" s="1"/>
      <c r="C13" s="1"/>
      <c r="D13" s="1"/>
      <c r="E13" s="1"/>
      <c r="F13" s="1"/>
      <c r="G13" s="1"/>
      <c r="H13" s="1"/>
      <c r="I13" s="1"/>
      <c r="J13" s="1"/>
      <c r="K13" s="1"/>
      <c r="L13" s="1"/>
      <c r="M13" s="1"/>
      <c r="N13" s="1"/>
      <c r="O13" s="89" t="s">
        <v>54</v>
      </c>
      <c r="P13" s="66" t="s">
        <v>63</v>
      </c>
      <c r="Q13" s="66" t="s">
        <v>54</v>
      </c>
      <c r="R13" s="72" t="s">
        <v>60</v>
      </c>
      <c r="Y13" s="1"/>
      <c r="Z13" s="1"/>
      <c r="AA13" s="1"/>
      <c r="AB13" s="1"/>
      <c r="AC13" s="1"/>
      <c r="AD13" s="1"/>
      <c r="AE13" s="1"/>
      <c r="AF13" s="1"/>
    </row>
    <row r="14" spans="1:40" ht="18.5" x14ac:dyDescent="0.35">
      <c r="A14" s="1"/>
      <c r="B14" s="1"/>
      <c r="C14" s="1"/>
      <c r="D14" s="1"/>
      <c r="E14" s="1"/>
      <c r="F14" s="1"/>
      <c r="G14" s="1"/>
      <c r="H14" s="1"/>
      <c r="I14" s="1"/>
      <c r="J14" s="1"/>
      <c r="K14" s="1"/>
      <c r="L14" s="1"/>
      <c r="M14" s="1"/>
      <c r="N14" s="1"/>
      <c r="O14" s="90" t="s">
        <v>57</v>
      </c>
      <c r="P14" s="66">
        <v>6</v>
      </c>
      <c r="Q14" s="66" t="s">
        <v>57</v>
      </c>
      <c r="R14" s="72">
        <v>6</v>
      </c>
      <c r="S14" s="1"/>
      <c r="T14" s="1"/>
      <c r="U14" s="1"/>
      <c r="V14" s="1"/>
      <c r="W14" s="1"/>
      <c r="X14" s="1"/>
      <c r="Y14" s="1"/>
      <c r="Z14" s="1"/>
      <c r="AA14" s="1"/>
      <c r="AB14" s="1"/>
      <c r="AC14" s="1"/>
      <c r="AD14" s="1"/>
      <c r="AE14" s="1"/>
      <c r="AF14" s="1"/>
    </row>
    <row r="15" spans="1:40" ht="19" thickBot="1" x14ac:dyDescent="0.4">
      <c r="A15" s="1"/>
      <c r="B15" s="1"/>
      <c r="C15" s="1"/>
      <c r="D15" s="1"/>
      <c r="E15" s="1"/>
      <c r="F15" s="1"/>
      <c r="G15" s="1"/>
      <c r="H15" s="1"/>
      <c r="I15" s="1"/>
      <c r="J15" s="1"/>
      <c r="K15" s="1"/>
      <c r="L15" s="1"/>
      <c r="M15" s="1"/>
      <c r="N15" s="1"/>
      <c r="O15" s="91"/>
      <c r="P15" s="92"/>
      <c r="Q15" s="92"/>
      <c r="R15" s="93"/>
      <c r="S15" s="1"/>
      <c r="T15" s="1"/>
      <c r="U15" s="1"/>
      <c r="V15" s="1"/>
      <c r="W15" s="1"/>
      <c r="X15" s="1"/>
      <c r="Y15" s="1"/>
      <c r="Z15" s="1"/>
      <c r="AA15" s="1"/>
      <c r="AB15" s="1"/>
      <c r="AC15" s="1"/>
      <c r="AD15" s="1"/>
      <c r="AE15" s="1"/>
      <c r="AF15" s="1"/>
    </row>
    <row r="16" spans="1:40" ht="14" thickBot="1" x14ac:dyDescent="0.3">
      <c r="A16" s="1"/>
      <c r="B16" s="1"/>
      <c r="C16" s="1"/>
      <c r="D16" s="1"/>
      <c r="E16" s="1"/>
      <c r="F16" s="1"/>
      <c r="G16" s="1"/>
      <c r="H16" s="1"/>
      <c r="I16" s="1"/>
      <c r="J16" s="1"/>
      <c r="K16" s="1"/>
      <c r="L16" s="1"/>
      <c r="M16" s="1"/>
      <c r="N16" s="1"/>
      <c r="O16" s="280" t="s">
        <v>160</v>
      </c>
      <c r="P16" s="280"/>
      <c r="Q16" s="280"/>
      <c r="R16" s="280"/>
      <c r="S16" s="1"/>
      <c r="T16" s="1"/>
      <c r="U16" s="1"/>
      <c r="V16" s="1"/>
      <c r="W16" s="1"/>
      <c r="X16" s="1"/>
      <c r="Y16" s="1"/>
      <c r="Z16" s="1"/>
      <c r="AA16" s="1"/>
      <c r="AB16" s="1"/>
      <c r="AC16" s="1"/>
      <c r="AD16" s="1"/>
      <c r="AE16" s="1"/>
      <c r="AF16" s="1"/>
      <c r="AG16" s="1"/>
      <c r="AH16" s="1"/>
      <c r="AI16" s="1"/>
      <c r="AJ16" s="1"/>
      <c r="AK16" s="1"/>
      <c r="AL16" s="1"/>
      <c r="AM16" s="1"/>
      <c r="AN16" s="1"/>
    </row>
    <row r="17" spans="15:18" ht="19" thickBot="1" x14ac:dyDescent="0.4">
      <c r="O17" s="277">
        <f>IF(AND(P13=BACKROOM1!A8,R13=BACKROOM1!B7),BACKROOM1!B8,IF(AND(P13=BACKROOM1!A8,R13=BACKROOM1!C7),BACKROOM1!C8,IF(AND(P13=BACKROOM1!A8,R13=BACKROOM1!D7),BACKROOM1!D8,IF(AND(P13=BACKROOM1!A8,R13=BACKROOM1!E7),BACKROOM1!E8,IF(AND(P13=BACKROOM1!A9,R13=BACKROOM1!B7),BACKROOM1!B9,IF(AND(P13=BACKROOM1!A9,R13=BACKROOM1!C7),BACKROOM1!C9,IF(AND(P13=BACKROOM1!A9,R13=BACKROOM1!D7),BACKROOM1!D9,IF(AND(P13=BACKROOM1!A9,R13=BACKROOM1!E7),BACKROOM1!E9,IF(AND(P13=BACKROOM1!A10,R13=BACKROOM1!B7),BACKROOM1!B10,IF(AND(P13=BACKROOM1!A10,R13=BACKROOM1!C7),BACKROOM1!C10,IF(AND(P13=BACKROOM1!A10,R13=BACKROOM1!D7),BACKROOM1!D10,IF(AND(P13=BACKROOM1!A10,R13=BACKROOM1!E7),BACKROOM1!E10,IF(AND(P13=BACKROOM1!A11,R13=BACKROOM1!B7),BACKROOM1!B11,IF(AND(P13=BACKROOM1!A11,R13=BACKROOM1!C7),BACKROOM1!C11,IF(AND(P13=BACKROOM1!A11,R13=BACKROOM1!D7),BACKROOM1!D11,IF(AND(P13=BACKROOM1!A11,R13=BACKROOM1!E7),BACKROOM1!E11,IF(AND(P13=BACKROOM1!A12,R13=BACKROOM1!B7),BACKROOM1!B12,IF(AND(P13=BACKROOM1!A12,R13=BACKROOM1!C7),BACKROOM1!C12,IF(AND(P13=BACKROOM1!A12,R13=BACKROOM1!D7),BACKROOM1!D12,IF(AND(P13=BACKROOM1!A12,R13=BACKROOM1!E7),BACKROOM1!E12,IF(AND(P13=BACKROOM1!A8,R13=BACKROOM1!F7),BACKROOM1!F8,IF(AND(P13=BACKROOM1!A9,R13=BACKROOM1!F7),BACKROOM1!F9,IF(AND(P13=BACKROOM1!A10,R13=BACKROOM1!F7),BACKROOM1!F10,IF(AND(P13=BACKROOM1!A11,R13=BACKROOM1!F7),BACKROOM1!F11,"ERROR"))))))))))))))))))))))))</f>
        <v>8.0000000000000071E-2</v>
      </c>
      <c r="P17" s="278"/>
      <c r="Q17" s="278"/>
      <c r="R17" s="279"/>
    </row>
  </sheetData>
  <mergeCells count="4">
    <mergeCell ref="O10:P10"/>
    <mergeCell ref="Q10:R10"/>
    <mergeCell ref="O17:R17"/>
    <mergeCell ref="O16:R16"/>
  </mergeCells>
  <pageMargins left="0.7" right="0.7" top="0.75" bottom="0.75" header="0.3" footer="0.3"/>
  <picture r:id="rId1"/>
  <extLst>
    <ext xmlns:x14="http://schemas.microsoft.com/office/spreadsheetml/2009/9/main" uri="{CCE6A557-97BC-4b89-ADB6-D9C93CAAB3DF}">
      <x14:dataValidations xmlns:xm="http://schemas.microsoft.com/office/excel/2006/main" count="2">
        <x14:dataValidation type="list" allowBlank="1" showInputMessage="1" showErrorMessage="1" xr:uid="{82BA6C38-BB9E-40C0-AC58-A0E3AA3060AE}">
          <x14:formula1>
            <xm:f>BACKROOM1!$B$7:$F$7</xm:f>
          </x14:formula1>
          <xm:sqref>R13</xm:sqref>
        </x14:dataValidation>
        <x14:dataValidation type="list" allowBlank="1" showInputMessage="1" showErrorMessage="1" xr:uid="{BC3FE1CD-94E5-42DA-AE78-F5B6EB859843}">
          <x14:formula1>
            <xm:f>BACKROOM1!$A$8:$A$12</xm:f>
          </x14:formula1>
          <xm:sqref>P13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2FB58-FF12-453C-AC27-E40A9DCC8FA3}">
  <sheetPr>
    <tabColor theme="8" tint="-0.499984740745262"/>
  </sheetPr>
  <dimension ref="B1:AT39"/>
  <sheetViews>
    <sheetView topLeftCell="D1" zoomScale="82" zoomScaleNormal="51" workbookViewId="0">
      <selection activeCell="K8" sqref="K8"/>
    </sheetView>
  </sheetViews>
  <sheetFormatPr defaultRowHeight="13.5" x14ac:dyDescent="0.25"/>
  <cols>
    <col min="1" max="1" width="9.7265625" style="2" bestFit="1" customWidth="1"/>
    <col min="2" max="2" width="12.08984375" style="2" customWidth="1"/>
    <col min="3" max="3" width="9.1796875" style="2" bestFit="1" customWidth="1"/>
    <col min="4" max="4" width="12.90625" style="2" customWidth="1"/>
    <col min="5" max="5" width="18.90625" style="2" customWidth="1"/>
    <col min="6" max="6" width="11.7265625" style="2" bestFit="1" customWidth="1"/>
    <col min="7" max="8" width="10.54296875" style="2" bestFit="1" customWidth="1"/>
    <col min="9" max="9" width="13.1796875" style="2" bestFit="1" customWidth="1"/>
    <col min="10" max="10" width="13.54296875" style="2" customWidth="1"/>
    <col min="11" max="11" width="21.54296875" style="2" customWidth="1"/>
    <col min="12" max="12" width="10.54296875" style="2" customWidth="1"/>
    <col min="13" max="13" width="21.26953125" style="2" bestFit="1" customWidth="1"/>
    <col min="14" max="14" width="14.54296875" style="2" bestFit="1" customWidth="1"/>
    <col min="15" max="15" width="22.7265625" style="2" customWidth="1"/>
    <col min="16" max="16" width="12.6328125" style="2" customWidth="1"/>
    <col min="17" max="17" width="15.7265625" style="2" bestFit="1" customWidth="1"/>
    <col min="18" max="18" width="8.81640625" style="2" bestFit="1" customWidth="1"/>
    <col min="19" max="19" width="9.7265625" style="2" bestFit="1" customWidth="1"/>
    <col min="20" max="20" width="8.90625" style="2" bestFit="1" customWidth="1"/>
    <col min="21" max="21" width="15.08984375" style="2" customWidth="1"/>
    <col min="22" max="22" width="8.81640625" style="2" bestFit="1" customWidth="1"/>
    <col min="23" max="23" width="12.54296875" style="2" bestFit="1" customWidth="1"/>
    <col min="24" max="25" width="8.7265625" style="2"/>
    <col min="26" max="26" width="9" style="2" bestFit="1" customWidth="1"/>
    <col min="27" max="27" width="8.81640625" style="2" bestFit="1" customWidth="1"/>
    <col min="28" max="28" width="13.54296875" style="2" bestFit="1" customWidth="1"/>
    <col min="29" max="29" width="8.7265625" style="2"/>
    <col min="30" max="30" width="8.81640625" style="2" bestFit="1" customWidth="1"/>
    <col min="31" max="31" width="12.90625" style="2" bestFit="1" customWidth="1"/>
    <col min="32" max="35" width="9" style="2" bestFit="1" customWidth="1"/>
    <col min="36" max="40" width="8.7265625" style="2"/>
    <col min="41" max="41" width="8.81640625" style="2" bestFit="1" customWidth="1"/>
    <col min="42" max="42" width="13.54296875" style="2" bestFit="1" customWidth="1"/>
    <col min="43" max="43" width="8.7265625" style="2"/>
    <col min="44" max="44" width="8.81640625" style="2" bestFit="1" customWidth="1"/>
    <col min="45" max="45" width="13.54296875" style="2" bestFit="1" customWidth="1"/>
    <col min="46" max="16384" width="8.7265625" style="2"/>
  </cols>
  <sheetData>
    <row r="1" spans="2:46" ht="20" x14ac:dyDescent="0.4">
      <c r="M1" s="55"/>
      <c r="N1" s="55"/>
      <c r="O1" s="55"/>
      <c r="P1" s="55"/>
      <c r="Q1" s="55"/>
      <c r="R1" s="55"/>
      <c r="S1" s="55"/>
      <c r="T1" s="54"/>
      <c r="U1" s="54"/>
      <c r="V1" s="54"/>
      <c r="W1" s="54"/>
      <c r="X1" s="54"/>
      <c r="Y1" s="54"/>
      <c r="Z1" s="54"/>
      <c r="AA1" s="54"/>
      <c r="AB1" s="54"/>
      <c r="AC1" s="54"/>
      <c r="AD1" s="54"/>
      <c r="AE1" s="54"/>
      <c r="AF1" s="54"/>
      <c r="AG1" s="54"/>
      <c r="AH1" s="54"/>
      <c r="AI1" s="54"/>
      <c r="AJ1" s="54"/>
    </row>
    <row r="2" spans="2:46" ht="17" x14ac:dyDescent="0.4">
      <c r="M2" s="56"/>
      <c r="N2" s="56"/>
      <c r="O2" s="56"/>
      <c r="P2" s="57"/>
      <c r="Q2" s="281"/>
      <c r="R2" s="281"/>
      <c r="S2" s="281"/>
      <c r="T2" s="54"/>
      <c r="U2" s="54"/>
      <c r="X2" s="54"/>
      <c r="Y2" s="282" t="s">
        <v>0</v>
      </c>
      <c r="Z2" s="282"/>
      <c r="AA2" s="54"/>
      <c r="AB2" s="54"/>
      <c r="AC2" s="54"/>
      <c r="AJ2" s="54"/>
    </row>
    <row r="3" spans="2:46" ht="14" thickBot="1" x14ac:dyDescent="0.3">
      <c r="Q3" s="58"/>
      <c r="R3" s="58"/>
      <c r="S3" s="59"/>
      <c r="T3" s="54"/>
      <c r="U3" s="54"/>
      <c r="X3" s="54"/>
      <c r="Y3" s="53" t="s">
        <v>8</v>
      </c>
      <c r="Z3" s="2">
        <f>K6</f>
        <v>10000</v>
      </c>
      <c r="AA3" s="54"/>
      <c r="AB3" s="54"/>
      <c r="AC3" s="54"/>
      <c r="AJ3" s="54"/>
    </row>
    <row r="4" spans="2:46" ht="14.5" customHeight="1" thickBot="1" x14ac:dyDescent="0.45">
      <c r="B4" s="288" t="s">
        <v>162</v>
      </c>
      <c r="C4" s="289"/>
      <c r="D4" s="289"/>
      <c r="E4" s="290"/>
      <c r="Q4" s="58"/>
      <c r="R4" s="58"/>
      <c r="S4" s="59"/>
      <c r="T4" s="54"/>
      <c r="U4" s="54"/>
      <c r="X4" s="54"/>
      <c r="Y4" s="53" t="s">
        <v>7</v>
      </c>
      <c r="Z4" s="2">
        <f>K7</f>
        <v>2000</v>
      </c>
      <c r="AA4" s="54"/>
      <c r="AB4" s="54"/>
      <c r="AC4" s="54"/>
      <c r="AJ4" s="54"/>
    </row>
    <row r="5" spans="2:46" ht="14.5" customHeight="1" thickBot="1" x14ac:dyDescent="0.3">
      <c r="B5" s="60" t="s">
        <v>164</v>
      </c>
      <c r="C5" s="61">
        <f>DATE(C7, C6,C8)</f>
        <v>40204</v>
      </c>
      <c r="D5" s="62" t="s">
        <v>165</v>
      </c>
      <c r="E5" s="63">
        <f>DATE(E7,E6,E8)</f>
        <v>45419</v>
      </c>
      <c r="J5" s="283" t="s">
        <v>161</v>
      </c>
      <c r="K5" s="284"/>
      <c r="Q5" s="58"/>
      <c r="R5" s="58"/>
      <c r="S5" s="68"/>
      <c r="T5" s="54"/>
      <c r="U5" s="54"/>
      <c r="X5" s="54"/>
      <c r="Y5" s="53" t="s">
        <v>167</v>
      </c>
      <c r="Z5" s="69">
        <f>K8</f>
        <v>0.1</v>
      </c>
      <c r="AA5" s="54"/>
      <c r="AB5" s="54"/>
      <c r="AC5" s="54"/>
      <c r="AJ5" s="54"/>
    </row>
    <row r="6" spans="2:46" ht="14.5" customHeight="1" x14ac:dyDescent="0.25">
      <c r="B6" s="60" t="s">
        <v>168</v>
      </c>
      <c r="C6" s="70">
        <v>1</v>
      </c>
      <c r="D6" s="62" t="s">
        <v>168</v>
      </c>
      <c r="E6" s="71">
        <v>5</v>
      </c>
      <c r="J6" s="262" t="s">
        <v>163</v>
      </c>
      <c r="K6" s="263">
        <v>10000</v>
      </c>
      <c r="Q6" s="58"/>
      <c r="R6" s="58"/>
      <c r="S6" s="59"/>
      <c r="T6" s="54"/>
      <c r="U6" s="54"/>
      <c r="X6" s="54"/>
      <c r="Y6" s="53" t="s">
        <v>169</v>
      </c>
      <c r="Z6" s="2">
        <f>K9</f>
        <v>10</v>
      </c>
      <c r="AA6" s="54"/>
      <c r="AB6" s="54"/>
      <c r="AC6" s="54"/>
      <c r="AJ6" s="54"/>
    </row>
    <row r="7" spans="2:46" ht="14.5" customHeight="1" x14ac:dyDescent="0.25">
      <c r="B7" s="60" t="s">
        <v>170</v>
      </c>
      <c r="C7" s="70">
        <v>2010</v>
      </c>
      <c r="D7" s="62" t="s">
        <v>170</v>
      </c>
      <c r="E7" s="71">
        <v>2024</v>
      </c>
      <c r="J7" s="264" t="s">
        <v>166</v>
      </c>
      <c r="K7" s="265">
        <v>2000</v>
      </c>
      <c r="Q7" s="74"/>
      <c r="R7" s="74"/>
      <c r="S7" s="59"/>
      <c r="T7" s="54"/>
      <c r="U7" s="54"/>
      <c r="X7" s="54"/>
      <c r="Y7" s="53" t="s">
        <v>172</v>
      </c>
      <c r="Z7" s="2">
        <f>K10</f>
        <v>8</v>
      </c>
      <c r="AA7" s="54"/>
      <c r="AB7" s="54"/>
      <c r="AC7" s="54"/>
      <c r="AJ7" s="54"/>
    </row>
    <row r="8" spans="2:46" ht="14" thickBot="1" x14ac:dyDescent="0.3">
      <c r="B8" s="75" t="s">
        <v>173</v>
      </c>
      <c r="C8" s="76">
        <v>26</v>
      </c>
      <c r="D8" s="77" t="s">
        <v>173</v>
      </c>
      <c r="E8" s="78">
        <v>7</v>
      </c>
      <c r="J8" s="264" t="s">
        <v>144</v>
      </c>
      <c r="K8" s="266">
        <v>0.1</v>
      </c>
      <c r="T8" s="54"/>
      <c r="U8" s="54"/>
      <c r="X8" s="54"/>
      <c r="Y8" s="54"/>
      <c r="Z8" s="54"/>
      <c r="AA8" s="54"/>
      <c r="AB8" s="54"/>
      <c r="AC8" s="54"/>
      <c r="AD8" s="54"/>
      <c r="AE8" s="54"/>
      <c r="AF8" s="54"/>
      <c r="AG8" s="54"/>
      <c r="AH8" s="54"/>
      <c r="AI8" s="54"/>
      <c r="AJ8" s="54"/>
    </row>
    <row r="9" spans="2:46" ht="14.5" customHeight="1" x14ac:dyDescent="0.25">
      <c r="B9" s="291" t="s">
        <v>162</v>
      </c>
      <c r="C9" s="292"/>
      <c r="D9" s="293"/>
      <c r="E9" s="79">
        <f>(E5-C5)/365</f>
        <v>14.287671232876713</v>
      </c>
      <c r="J9" s="264" t="s">
        <v>171</v>
      </c>
      <c r="K9" s="265">
        <v>10</v>
      </c>
      <c r="T9" s="54"/>
      <c r="U9" s="54"/>
      <c r="X9" s="54"/>
      <c r="Y9" s="54"/>
      <c r="Z9" s="54"/>
      <c r="AA9" s="54"/>
      <c r="AB9" s="54"/>
      <c r="AC9" s="54"/>
      <c r="AD9" s="54"/>
      <c r="AE9" s="54"/>
      <c r="AF9" s="54"/>
      <c r="AG9" s="54"/>
      <c r="AH9" s="54"/>
      <c r="AI9" s="54"/>
      <c r="AJ9" s="54"/>
    </row>
    <row r="10" spans="2:46" ht="15" customHeight="1" thickBot="1" x14ac:dyDescent="0.3">
      <c r="B10" s="294" t="s">
        <v>175</v>
      </c>
      <c r="C10" s="295"/>
      <c r="D10" s="296"/>
      <c r="E10" s="80">
        <v>10</v>
      </c>
      <c r="J10" s="264" t="s">
        <v>174</v>
      </c>
      <c r="K10" s="265">
        <v>8</v>
      </c>
      <c r="T10" s="54"/>
      <c r="U10" s="54"/>
      <c r="X10" s="54"/>
      <c r="Y10" s="54"/>
      <c r="Z10" s="54"/>
      <c r="AA10" s="54"/>
      <c r="AB10" s="54"/>
      <c r="AC10" s="54"/>
      <c r="AD10" s="54"/>
      <c r="AE10" s="54"/>
      <c r="AF10" s="54"/>
      <c r="AG10" s="54"/>
      <c r="AH10" s="54"/>
      <c r="AI10" s="54"/>
      <c r="AJ10" s="54"/>
    </row>
    <row r="11" spans="2:46" ht="30" customHeight="1" thickBot="1" x14ac:dyDescent="0.3">
      <c r="D11" s="58"/>
      <c r="E11" s="58"/>
      <c r="F11" s="58"/>
      <c r="G11" s="58"/>
      <c r="J11" s="267" t="s">
        <v>220</v>
      </c>
      <c r="K11" s="268">
        <v>0.1</v>
      </c>
      <c r="L11" s="58"/>
      <c r="M11" s="58"/>
      <c r="T11" s="54"/>
      <c r="U11" s="54"/>
      <c r="X11" s="54"/>
      <c r="Y11" s="54"/>
      <c r="Z11" s="54"/>
      <c r="AA11" s="54"/>
      <c r="AB11" s="54"/>
      <c r="AC11" s="54"/>
      <c r="AD11" s="54"/>
      <c r="AE11" s="54"/>
      <c r="AF11" s="54"/>
      <c r="AG11" s="54"/>
      <c r="AH11" s="54"/>
      <c r="AI11" s="54"/>
      <c r="AJ11" s="54"/>
    </row>
    <row r="12" spans="2:46" ht="15.5" thickBot="1" x14ac:dyDescent="0.35">
      <c r="D12" s="58"/>
      <c r="E12" s="59"/>
      <c r="F12" s="58"/>
      <c r="G12" s="82"/>
      <c r="J12" s="283" t="s">
        <v>194</v>
      </c>
      <c r="K12" s="284"/>
      <c r="T12" s="54"/>
      <c r="U12" s="54"/>
      <c r="X12" s="54"/>
      <c r="Y12" s="54"/>
      <c r="Z12" s="54"/>
      <c r="AA12" s="54"/>
      <c r="AB12" s="54"/>
      <c r="AC12" s="54"/>
      <c r="AD12" s="54"/>
      <c r="AE12" s="54"/>
      <c r="AF12" s="54"/>
      <c r="AG12" s="54"/>
      <c r="AH12" s="54"/>
      <c r="AI12" s="54"/>
      <c r="AJ12" s="54"/>
      <c r="AN12" s="54"/>
      <c r="AO12" s="54"/>
      <c r="AP12" s="54"/>
      <c r="AQ12" s="54"/>
      <c r="AR12" s="54"/>
      <c r="AS12" s="54"/>
      <c r="AT12" s="54"/>
    </row>
    <row r="13" spans="2:46" ht="14" thickBot="1" x14ac:dyDescent="0.3">
      <c r="B13" s="285" t="s">
        <v>47</v>
      </c>
      <c r="C13" s="286"/>
      <c r="D13" s="286" t="s">
        <v>48</v>
      </c>
      <c r="E13" s="287"/>
      <c r="J13" s="262" t="s">
        <v>39</v>
      </c>
      <c r="K13" s="263" t="s">
        <v>163</v>
      </c>
      <c r="T13" s="54"/>
      <c r="U13" s="54"/>
      <c r="X13" s="54"/>
      <c r="Y13" s="54"/>
      <c r="AG13" s="54"/>
      <c r="AH13" s="54"/>
      <c r="AI13" s="54"/>
      <c r="AJ13" s="54"/>
      <c r="AN13" s="54"/>
      <c r="AO13" s="282" t="s">
        <v>179</v>
      </c>
      <c r="AP13" s="282"/>
      <c r="AQ13" s="83"/>
      <c r="AR13" s="282" t="s">
        <v>180</v>
      </c>
      <c r="AS13" s="282"/>
      <c r="AT13" s="54"/>
    </row>
    <row r="14" spans="2:46" ht="19" thickBot="1" x14ac:dyDescent="0.4">
      <c r="B14" s="64" t="s">
        <v>50</v>
      </c>
      <c r="C14" s="65">
        <v>7.0000000000000007E-2</v>
      </c>
      <c r="D14" s="66"/>
      <c r="E14" s="67"/>
      <c r="J14" s="269" t="s">
        <v>177</v>
      </c>
      <c r="K14" s="270" t="s">
        <v>190</v>
      </c>
      <c r="T14" s="54"/>
      <c r="U14" s="54"/>
      <c r="X14" s="54"/>
      <c r="Y14" s="54"/>
      <c r="AG14" s="54"/>
      <c r="AH14" s="54"/>
      <c r="AI14" s="54"/>
      <c r="AJ14" s="54"/>
      <c r="AN14" s="54"/>
      <c r="AO14" s="53" t="s">
        <v>182</v>
      </c>
      <c r="AP14" s="53" t="s">
        <v>183</v>
      </c>
      <c r="AQ14" s="53"/>
      <c r="AR14" s="53" t="s">
        <v>182</v>
      </c>
      <c r="AS14" s="53" t="s">
        <v>183</v>
      </c>
      <c r="AT14" s="54"/>
    </row>
    <row r="15" spans="2:46" ht="19" thickBot="1" x14ac:dyDescent="0.4">
      <c r="B15" s="64" t="s">
        <v>52</v>
      </c>
      <c r="C15" s="66">
        <v>12</v>
      </c>
      <c r="D15" s="66" t="s">
        <v>52</v>
      </c>
      <c r="E15" s="72">
        <v>4</v>
      </c>
      <c r="J15" s="283" t="s">
        <v>39</v>
      </c>
      <c r="K15" s="284"/>
      <c r="T15" s="54"/>
      <c r="U15" s="54"/>
      <c r="X15" s="54"/>
      <c r="Y15" s="54"/>
      <c r="AG15" s="54"/>
      <c r="AH15" s="54"/>
      <c r="AI15" s="54"/>
      <c r="AJ15" s="54"/>
      <c r="AN15" s="54"/>
      <c r="AO15" s="2">
        <v>1</v>
      </c>
      <c r="AP15" s="84">
        <f>('[1]From SI'!$D4*(1+'[1]From SI'!$D5)^('[1]From SI'!$D6*AO15))</f>
        <v>890.21637139698782</v>
      </c>
      <c r="AR15" s="2">
        <v>1</v>
      </c>
      <c r="AS15" s="85">
        <f>Z4*(1+Z5*Z6*AR15)</f>
        <v>4000</v>
      </c>
      <c r="AT15" s="54"/>
    </row>
    <row r="16" spans="2:46" ht="18.5" x14ac:dyDescent="0.35">
      <c r="B16" s="64" t="s">
        <v>54</v>
      </c>
      <c r="C16" s="66" t="s">
        <v>65</v>
      </c>
      <c r="D16" s="66" t="s">
        <v>54</v>
      </c>
      <c r="E16" s="73" t="s">
        <v>56</v>
      </c>
      <c r="J16" s="256" t="s">
        <v>181</v>
      </c>
      <c r="K16" s="257">
        <f>IF(AND(K13=BACKROOM1!L23,K14=BACKROOM1!K24),BACKROOM1!L24,IF(AND(K13=BACKROOM1!M23,K14=BACKROOM1!K24),BACKROOM1!M24,IF(AND(K13=BACKROOM1!P23,K14=BACKROOM1!K24),BACKROOM1!P24,IF(AND(K13=BACKROOM1!L23,K14=BACKROOM1!K25),BACKROOM1!L25,IF(AND(K13=BACKROOM1!M23,K14=BACKROOM1!K25),BACKROOM1!M25,IF(AND(K13=BACKROOM1!P23,K14=BACKROOM1!K25),BACKROOM1!P25,IF(AND(K13=BACKROOM1!L23,K14=BACKROOM1!K26),BACKROOM1!L26,IF(AND(K13=BACKROOM1!M23,K14=BACKROOM1!K26),BACKROOM1!M26,IF(AND(K13=BACKROOM1!P23,K14=BACKROOM1!K26),BACKROOM1!P26,IF(AND(K13=BACKROOM1!L23,K14=BACKROOM1!K27),BACKROOM1!L27,IF(AND(K13=BACKROOM1!M23,K14=BACKROOM1!K27),BACKROOM1!M27,IF(AND(K13=BACKROOM1!P23,K14=BACKROOM1!K27),BACKROOM1!P27,IF(AND(K13=BACKROOM1!L23,K14=BACKROOM1!K28),BACKROOM1!L28,IF(AND(K13=BACKROOM1!M23,K14=BACKROOM1!K28),BACKROOM1!M28,IF(AND(K13=BACKROOM1!P23,K14=BACKROOM1!K28),BACKROOM1!P28,"-")))))))))))))))</f>
        <v>18000</v>
      </c>
      <c r="T16" s="54"/>
      <c r="U16" s="54"/>
      <c r="V16" s="54"/>
      <c r="W16" s="54"/>
      <c r="X16" s="54"/>
      <c r="Y16" s="54"/>
      <c r="AG16" s="54"/>
      <c r="AH16" s="54"/>
      <c r="AI16" s="54"/>
      <c r="AJ16" s="54"/>
      <c r="AN16" s="54"/>
      <c r="AO16" s="2">
        <v>2</v>
      </c>
      <c r="AP16" s="84">
        <f>('[1]From SI'!$D4*(1+'[1]From SI'!$D5)^('[1]From SI'!$D6*AO16))</f>
        <v>1981.2129697580494</v>
      </c>
      <c r="AR16" s="2">
        <v>2</v>
      </c>
      <c r="AS16" s="85">
        <f>Z4*(1+Z5*Z6*AR16)</f>
        <v>6000</v>
      </c>
      <c r="AT16" s="54"/>
    </row>
    <row r="17" spans="2:46" ht="18.5" x14ac:dyDescent="0.35">
      <c r="B17" s="64" t="s">
        <v>57</v>
      </c>
      <c r="C17" s="66">
        <v>1</v>
      </c>
      <c r="D17" s="66" t="s">
        <v>57</v>
      </c>
      <c r="E17" s="72">
        <v>1</v>
      </c>
      <c r="J17" s="258" t="s">
        <v>184</v>
      </c>
      <c r="K17" s="259" t="str">
        <f>IF(AND(K13=BACKROOM1!N23,K14=BACKROOM1!K24),BACKROOM1!N24,IF(AND(K13=BACKROOM1!N23,K14=BACKROOM1!K25),BACKROOM1!N25,IF(AND(K13=BACKROOM1!N23,K14=BACKROOM1!K26),BACKROOM1!N26,IF(AND(K13=BACKROOM1!N23,K14=BACKROOM1!K27),BACKROOM1!N27,IF(AND(K13=BACKROOM1!N23,K14=BACKROOM1!K28),BACKROOM1!N28,"-")))))</f>
        <v>-</v>
      </c>
      <c r="T17" s="54"/>
      <c r="U17" s="54"/>
      <c r="V17" s="54"/>
      <c r="W17" s="54"/>
      <c r="X17" s="54"/>
      <c r="Y17" s="54"/>
      <c r="AG17" s="54"/>
      <c r="AH17" s="54"/>
      <c r="AI17" s="54"/>
      <c r="AJ17" s="54"/>
      <c r="AN17" s="54"/>
      <c r="AO17" s="2">
        <v>3</v>
      </c>
      <c r="AP17" s="84">
        <f>('[1]From SI'!$D4*(1+'[1]From SI'!$D5)^('[1]From SI'!$D6*AO17))</f>
        <v>4409.270552256653</v>
      </c>
      <c r="AR17" s="2">
        <v>3</v>
      </c>
      <c r="AS17" s="85">
        <f>Z4*(1+Z5*Z6*AR17)</f>
        <v>8000</v>
      </c>
      <c r="AT17" s="54"/>
    </row>
    <row r="18" spans="2:46" ht="19" thickBot="1" x14ac:dyDescent="0.4">
      <c r="B18" s="64"/>
      <c r="C18" s="66"/>
      <c r="D18" s="66"/>
      <c r="E18" s="72"/>
      <c r="J18" s="260" t="s">
        <v>185</v>
      </c>
      <c r="K18" s="261" t="str">
        <f>IF(AND(K13=BACKROOM1!O23,K14=BACKROOM1!K24),BACKROOM1!O24,IF(AND(K13=BACKROOM1!O23,K14=BACKROOM1!K25),BACKROOM1!O25,IF(AND(K13=BACKROOM1!O23,K14=BACKROOM1!K26),BACKROOM1!O26,IF(AND(K13=BACKROOM1!O23,K14=BACKROOM1!K27),BACKROOM1!O27,IF(AND(K13=BACKROOM1!O23,K14=BACKROOM1!K28),BACKROOM1!O28,"-")))))</f>
        <v>-</v>
      </c>
      <c r="T18" s="54"/>
      <c r="U18" s="54"/>
      <c r="V18" s="54"/>
      <c r="W18" s="54"/>
      <c r="X18" s="54"/>
      <c r="Y18" s="54"/>
      <c r="AG18" s="54"/>
      <c r="AH18" s="54"/>
      <c r="AI18" s="54"/>
      <c r="AJ18" s="54"/>
      <c r="AN18" s="54"/>
      <c r="AO18" s="2">
        <v>4</v>
      </c>
      <c r="AP18" s="84">
        <f>('[1]From SI'!$D4*(1+'[1]From SI'!$D5)^('[1]From SI'!$D6*AO18))</f>
        <v>9813.0120788437744</v>
      </c>
      <c r="AR18" s="2">
        <v>4</v>
      </c>
      <c r="AS18" s="85">
        <f>Z4*(1+Z5*Z6*AR18)</f>
        <v>10000</v>
      </c>
      <c r="AT18" s="54"/>
    </row>
    <row r="19" spans="2:46" ht="19" thickBot="1" x14ac:dyDescent="0.4">
      <c r="B19" s="297" t="s">
        <v>176</v>
      </c>
      <c r="C19" s="298"/>
      <c r="D19" s="298"/>
      <c r="E19" s="81">
        <f>IF(AND(C16=BACKROOM1!K11,E16=BACKROOM1!L10),BACKROOM1!L11,IF(AND(C16=BACKROOM1!K11,E16=BACKROOM1!M10),BACKROOM1!M11,IF(AND(C16=BACKROOM1!K11,E16=BACKROOM1!N10),BACKROOM1!N11,IF(AND(C16=BACKROOM1!K11,E16=BACKROOM1!O10),BACKROOM1!O11,IF(AND(C16=BACKROOM1!K12,E16=BACKROOM1!L10),BACKROOM1!L12,IF(AND(C16=BACKROOM1!K12,E16=BACKROOM1!M10),BACKROOM1!M12,IF(AND(C16=BACKROOM1!K12,E16=BACKROOM1!N10),BACKROOM1!N12,IF(AND(C16=BACKROOM1!K12,E16=BACKROOM1!O10),BACKROOM1!O12,IF(AND(C16=BACKROOM1!K13,E16=BACKROOM1!L10),BACKROOM1!L13,IF(AND(C16=BACKROOM1!K13,E16=BACKROOM1!M10),BACKROOM1!M13,IF(AND(C16=BACKROOM1!K13,E16=BACKROOM1!N10),BACKROOM1!N13,IF(AND(C16=BACKROOM1!K13,E16=BACKROOM1!O10),BACKROOM1!O13,IF(AND(C16=BACKROOM1!K14,E16=BACKROOM1!L10),BACKROOM1!L14,IF(AND(C16=BACKROOM1!K14,E16=BACKROOM1!M10),BACKROOM1!M14,IF(AND(C16=BACKROOM1!K14,E16=BACKROOM1!N10),BACKROOM1!N14,IF(AND(C16=BACKROOM1!K14,E16=BACKROOM1!O10),BACKROOM1!O14,IF(AND(C16=BACKROOM1!K15,E16=BACKROOM1!L10),BACKROOM1!L15,IF(AND(C16=BACKROOM1!K15,E16=BACKROOM1!M10),BACKROOM1!M15,IF(AND(C16=BACKROOM1!K15,E16=BACKROOM1!N10),BACKROOM1!N15,IF(AND(C16=BACKROOM1!K15,E16=BACKROOM1!O10),BACKROOM1!O15,IF(AND(C16=BACKROOM1!K11,E16=BACKROOM1!P10),BACKROOM1!P11,IF(AND(C16=BACKROOM1!K12,E16=BACKROOM1!P10),BACKROOM1!P12,IF(AND(C16=BACKROOM1!K13,E16=BACKROOM1!P10),BACKROOM1!P13,IF(AND(C16=BACKROOM1!K14,E16=BACKROOM1!P10),BACKROOM1!P14,"ERROR"))))))))))))))))))))))))</f>
        <v>0.2250430000000001</v>
      </c>
      <c r="U19" s="54"/>
      <c r="V19" s="54"/>
      <c r="W19" s="54"/>
      <c r="X19" s="54"/>
      <c r="Y19" s="54"/>
      <c r="AG19" s="54"/>
      <c r="AH19" s="54"/>
      <c r="AI19" s="54"/>
      <c r="AJ19" s="54"/>
      <c r="AN19" s="54"/>
      <c r="AO19" s="2">
        <v>5</v>
      </c>
      <c r="AP19" s="84">
        <f>('[1]From SI'!$D4*(1+'[1]From SI'!$D5)^('[1]From SI'!$D6*AO19))</f>
        <v>21839.260013257794</v>
      </c>
      <c r="AR19" s="2">
        <v>5</v>
      </c>
      <c r="AS19" s="85">
        <f>Z4*(1+Z5*Z6*AR19)</f>
        <v>12000</v>
      </c>
      <c r="AT19" s="54"/>
    </row>
    <row r="20" spans="2:46" x14ac:dyDescent="0.25">
      <c r="U20" s="54"/>
      <c r="V20" s="54"/>
      <c r="W20" s="54"/>
      <c r="X20" s="54"/>
      <c r="Y20" s="54"/>
      <c r="AG20" s="54"/>
      <c r="AH20" s="54"/>
      <c r="AI20" s="54"/>
      <c r="AJ20" s="54"/>
      <c r="AN20" s="54"/>
      <c r="AO20" s="2">
        <v>6</v>
      </c>
      <c r="AP20" s="84">
        <f>('[1]From SI'!$D4*(1+'[1]From SI'!$D5)^('[1]From SI'!$D6*AO20))</f>
        <v>48604.167007494216</v>
      </c>
      <c r="AR20" s="2">
        <v>6</v>
      </c>
      <c r="AS20" s="85">
        <f>Z4*(1+Z5*Z6*AR20)</f>
        <v>14000</v>
      </c>
      <c r="AT20" s="54"/>
    </row>
    <row r="21" spans="2:46" x14ac:dyDescent="0.25">
      <c r="U21" s="54"/>
      <c r="V21" s="54"/>
      <c r="W21" s="54"/>
      <c r="X21" s="54"/>
      <c r="Y21" s="54"/>
      <c r="AG21" s="54"/>
      <c r="AH21" s="54"/>
      <c r="AI21" s="54"/>
      <c r="AJ21" s="54"/>
      <c r="AN21" s="54"/>
      <c r="AO21" s="2">
        <v>7</v>
      </c>
      <c r="AP21" s="84">
        <f>('[1]From SI'!$D4*(1+'[1]From SI'!$D5)^('[1]From SI'!$D6*AO21))</f>
        <v>108170.56297046175</v>
      </c>
      <c r="AR21" s="2">
        <v>7</v>
      </c>
      <c r="AS21" s="85">
        <f>Z4*(1+Z5*Z6*AR21)</f>
        <v>16000</v>
      </c>
      <c r="AT21" s="54"/>
    </row>
    <row r="22" spans="2:46" x14ac:dyDescent="0.25">
      <c r="U22" s="54"/>
      <c r="V22" s="54"/>
      <c r="W22" s="54"/>
      <c r="X22" s="54"/>
      <c r="Y22" s="54"/>
      <c r="AG22" s="54"/>
      <c r="AH22" s="54"/>
      <c r="AI22" s="54"/>
      <c r="AJ22" s="54"/>
      <c r="AN22" s="54"/>
      <c r="AO22" s="2">
        <v>8</v>
      </c>
      <c r="AP22" s="84">
        <f>('[1]From SI'!$D4*(1+'[1]From SI'!$D5)^('[1]From SI'!$D6*AO22))</f>
        <v>240738.01514883459</v>
      </c>
      <c r="AR22" s="2">
        <v>8</v>
      </c>
      <c r="AS22" s="85">
        <f>Z4*(1+Z5*Z6*AR22)</f>
        <v>18000</v>
      </c>
      <c r="AT22" s="54"/>
    </row>
    <row r="23" spans="2:46" x14ac:dyDescent="0.25">
      <c r="U23" s="54"/>
      <c r="V23" s="54"/>
      <c r="W23" s="54"/>
      <c r="X23" s="54"/>
      <c r="Y23" s="54"/>
      <c r="AG23" s="54"/>
      <c r="AH23" s="54"/>
      <c r="AI23" s="54"/>
      <c r="AJ23" s="54"/>
      <c r="AN23" s="54"/>
      <c r="AO23" s="2">
        <v>9</v>
      </c>
      <c r="AP23" s="84">
        <f>('[1]From SI'!$D4*(1+'[1]From SI'!$D5)^('[1]From SI'!$D6*AO23))</f>
        <v>535772.30575777148</v>
      </c>
      <c r="AR23" s="2">
        <v>9</v>
      </c>
      <c r="AS23" s="85">
        <f>Z4*(1+Z5*Z6*AR23)</f>
        <v>20000</v>
      </c>
      <c r="AT23" s="54"/>
    </row>
    <row r="24" spans="2:46" x14ac:dyDescent="0.25">
      <c r="U24" s="54"/>
      <c r="V24" s="54"/>
      <c r="W24" s="54"/>
      <c r="X24" s="54"/>
      <c r="Y24" s="54"/>
      <c r="AG24" s="54"/>
      <c r="AH24" s="54"/>
      <c r="AI24" s="54"/>
      <c r="AJ24" s="54"/>
      <c r="AN24" s="54"/>
      <c r="AO24" s="2">
        <v>10</v>
      </c>
      <c r="AP24" s="84">
        <f>('[1]From SI'!$D4*(1+'[1]From SI'!$D5)^('[1]From SI'!$D6*AO24))</f>
        <v>1192383.1948167023</v>
      </c>
      <c r="AR24" s="2">
        <v>10</v>
      </c>
      <c r="AS24" s="85">
        <f>Z4*(1+Z5*Z6*AR24)</f>
        <v>22000</v>
      </c>
      <c r="AT24" s="54"/>
    </row>
    <row r="25" spans="2:46" x14ac:dyDescent="0.25">
      <c r="U25" s="54"/>
      <c r="V25" s="54"/>
      <c r="W25" s="54"/>
      <c r="X25" s="54"/>
      <c r="Y25" s="54"/>
      <c r="AG25" s="54"/>
      <c r="AH25" s="54"/>
      <c r="AI25" s="54"/>
      <c r="AJ25" s="54"/>
      <c r="AN25" s="54"/>
      <c r="AO25" s="54"/>
      <c r="AP25" s="54"/>
      <c r="AQ25" s="54"/>
      <c r="AR25" s="54"/>
      <c r="AS25" s="54"/>
      <c r="AT25" s="54"/>
    </row>
    <row r="26" spans="2:46" x14ac:dyDescent="0.25">
      <c r="U26" s="54"/>
      <c r="V26" s="54"/>
      <c r="W26" s="54"/>
      <c r="X26" s="54"/>
      <c r="Y26" s="54"/>
      <c r="AG26" s="54"/>
      <c r="AH26" s="54"/>
      <c r="AI26" s="54"/>
      <c r="AJ26" s="54"/>
    </row>
    <row r="27" spans="2:46" x14ac:dyDescent="0.25">
      <c r="U27" s="54"/>
      <c r="V27" s="54"/>
      <c r="W27" s="54"/>
      <c r="X27" s="54"/>
      <c r="Y27" s="54"/>
      <c r="Z27" s="54"/>
      <c r="AA27" s="54"/>
      <c r="AB27" s="54"/>
      <c r="AC27" s="54"/>
      <c r="AD27" s="54"/>
      <c r="AE27" s="54"/>
      <c r="AF27" s="54"/>
      <c r="AG27" s="54"/>
      <c r="AH27" s="54"/>
      <c r="AI27" s="54"/>
      <c r="AJ27" s="54"/>
    </row>
    <row r="28" spans="2:46" x14ac:dyDescent="0.25">
      <c r="U28" s="54"/>
      <c r="V28" s="54"/>
      <c r="W28" s="54"/>
      <c r="X28" s="54"/>
      <c r="Y28" s="54"/>
      <c r="Z28" s="54"/>
      <c r="AA28" s="54"/>
      <c r="AB28" s="54"/>
      <c r="AC28" s="54"/>
      <c r="AD28" s="54"/>
      <c r="AE28" s="54"/>
      <c r="AF28" s="54"/>
      <c r="AG28" s="54"/>
      <c r="AH28" s="54"/>
      <c r="AI28" s="54"/>
      <c r="AJ28" s="54"/>
    </row>
    <row r="29" spans="2:46" x14ac:dyDescent="0.25">
      <c r="M29" s="58"/>
      <c r="N29" s="58"/>
    </row>
    <row r="30" spans="2:46" x14ac:dyDescent="0.25">
      <c r="E30" s="58"/>
      <c r="F30" s="58"/>
      <c r="G30" s="58"/>
      <c r="H30" s="58"/>
      <c r="M30" s="58"/>
      <c r="N30" s="86"/>
    </row>
    <row r="31" spans="2:46" x14ac:dyDescent="0.25">
      <c r="M31" s="58"/>
      <c r="N31" s="86"/>
    </row>
    <row r="32" spans="2:46" x14ac:dyDescent="0.25">
      <c r="M32" s="58"/>
      <c r="N32" s="86"/>
    </row>
    <row r="33" spans="13:14" x14ac:dyDescent="0.25">
      <c r="M33" s="58"/>
      <c r="N33" s="86"/>
    </row>
    <row r="34" spans="13:14" x14ac:dyDescent="0.25">
      <c r="M34" s="58"/>
      <c r="N34" s="86"/>
    </row>
    <row r="35" spans="13:14" x14ac:dyDescent="0.25">
      <c r="M35" s="58"/>
      <c r="N35" s="86"/>
    </row>
    <row r="36" spans="13:14" x14ac:dyDescent="0.25">
      <c r="M36" s="58"/>
      <c r="N36" s="86"/>
    </row>
    <row r="37" spans="13:14" x14ac:dyDescent="0.25">
      <c r="M37" s="58"/>
      <c r="N37" s="86"/>
    </row>
    <row r="38" spans="13:14" x14ac:dyDescent="0.25">
      <c r="M38" s="58"/>
      <c r="N38" s="86"/>
    </row>
    <row r="39" spans="13:14" x14ac:dyDescent="0.25">
      <c r="M39" s="58"/>
      <c r="N39" s="86"/>
    </row>
  </sheetData>
  <mergeCells count="13">
    <mergeCell ref="AO13:AP13"/>
    <mergeCell ref="AR13:AS13"/>
    <mergeCell ref="B19:D19"/>
    <mergeCell ref="J15:K15"/>
    <mergeCell ref="J12:K12"/>
    <mergeCell ref="Q2:S2"/>
    <mergeCell ref="Y2:Z2"/>
    <mergeCell ref="J5:K5"/>
    <mergeCell ref="B13:C13"/>
    <mergeCell ref="D13:E13"/>
    <mergeCell ref="B4:E4"/>
    <mergeCell ref="B9:D9"/>
    <mergeCell ref="B10:D10"/>
  </mergeCells>
  <dataValidations count="1">
    <dataValidation type="list" allowBlank="1" showInputMessage="1" showErrorMessage="1" sqref="K9" xr:uid="{36E6B91A-CBE3-4C48-80D0-3CEE5C2070D8}">
      <formula1>$E$9:$E$10</formula1>
    </dataValidation>
  </dataValidations>
  <pageMargins left="0.7" right="0.7" top="0.75" bottom="0.75" header="0.3" footer="0.3"/>
  <drawing r:id="rId1"/>
  <picture r:id="rId2"/>
  <extLst>
    <ext xmlns:x14="http://schemas.microsoft.com/office/spreadsheetml/2009/9/main" uri="{CCE6A557-97BC-4b89-ADB6-D9C93CAAB3DF}">
      <x14:dataValidations xmlns:xm="http://schemas.microsoft.com/office/excel/2006/main" count="5">
        <x14:dataValidation type="list" allowBlank="1" showInputMessage="1" showErrorMessage="1" xr:uid="{1A13AB0A-EC5B-465D-B866-285BABB1815C}">
          <x14:formula1>
            <xm:f>BACKROOM1!$K$19:$K$20</xm:f>
          </x14:formula1>
          <xm:sqref>K8</xm:sqref>
        </x14:dataValidation>
        <x14:dataValidation type="list" allowBlank="1" showInputMessage="1" showErrorMessage="1" xr:uid="{ABFD67E2-703D-401F-8CFF-08674B4319B9}">
          <x14:formula1>
            <xm:f>BACKROOM1!$L$23:$P$23</xm:f>
          </x14:formula1>
          <xm:sqref>K13</xm:sqref>
        </x14:dataValidation>
        <x14:dataValidation type="list" allowBlank="1" showInputMessage="1" showErrorMessage="1" xr:uid="{192B01E5-B0E8-4D4A-9EBD-06DA78274D4A}">
          <x14:formula1>
            <xm:f>BACKROOM1!$K$24:$K$28</xm:f>
          </x14:formula1>
          <xm:sqref>K14</xm:sqref>
        </x14:dataValidation>
        <x14:dataValidation type="list" allowBlank="1" showInputMessage="1" showErrorMessage="1" xr:uid="{F3373090-ED90-4E90-926D-823BBE625A90}">
          <x14:formula1>
            <xm:f>BACKROOM1!$K$11:$K$15</xm:f>
          </x14:formula1>
          <xm:sqref>C16</xm:sqref>
        </x14:dataValidation>
        <x14:dataValidation type="list" allowBlank="1" showInputMessage="1" showErrorMessage="1" xr:uid="{9BD8FF41-E769-42F6-9DDC-FD006A360AD6}">
          <x14:formula1>
            <xm:f>BACKROOM1!$L$10:$P$10</xm:f>
          </x14:formula1>
          <xm:sqref>E16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A8FB5-CF16-4ACF-91C3-3805FAA81474}">
  <sheetPr>
    <tabColor theme="8" tint="-0.499984740745262"/>
  </sheetPr>
  <dimension ref="C1:S38"/>
  <sheetViews>
    <sheetView topLeftCell="I1" zoomScale="89" workbookViewId="0">
      <selection activeCell="Q23" sqref="Q23:S23"/>
    </sheetView>
  </sheetViews>
  <sheetFormatPr defaultRowHeight="13.5" x14ac:dyDescent="0.25"/>
  <cols>
    <col min="1" max="4" width="8.7265625" style="54"/>
    <col min="5" max="5" width="16.26953125" style="54" customWidth="1"/>
    <col min="6" max="6" width="10.1796875" style="54" bestFit="1" customWidth="1"/>
    <col min="7" max="7" width="21" style="54" bestFit="1" customWidth="1"/>
    <col min="8" max="8" width="8.7265625" style="54"/>
    <col min="9" max="9" width="21.453125" style="54" bestFit="1" customWidth="1"/>
    <col min="10" max="10" width="21.1796875" style="54" bestFit="1" customWidth="1"/>
    <col min="11" max="11" width="8.81640625" style="54" bestFit="1" customWidth="1"/>
    <col min="12" max="12" width="14.08984375" style="54" bestFit="1" customWidth="1"/>
    <col min="13" max="13" width="20.453125" style="54" bestFit="1" customWidth="1"/>
    <col min="14" max="14" width="12.1796875" style="54" bestFit="1" customWidth="1"/>
    <col min="15" max="15" width="20.81640625" style="54" bestFit="1" customWidth="1"/>
    <col min="16" max="16" width="10" style="54" bestFit="1" customWidth="1"/>
    <col min="17" max="17" width="15.54296875" style="54" bestFit="1" customWidth="1"/>
    <col min="18" max="18" width="9.54296875" style="54" bestFit="1" customWidth="1"/>
    <col min="19" max="16384" width="8.7265625" style="54"/>
  </cols>
  <sheetData>
    <row r="1" spans="3:19" x14ac:dyDescent="0.25">
      <c r="C1" s="2"/>
      <c r="M1" s="2"/>
      <c r="N1" s="2"/>
      <c r="O1" s="2"/>
      <c r="P1" s="2"/>
      <c r="Q1" s="2"/>
      <c r="R1" s="2"/>
      <c r="S1" s="2"/>
    </row>
    <row r="2" spans="3:19" x14ac:dyDescent="0.25">
      <c r="C2" s="2"/>
      <c r="M2" s="2"/>
      <c r="N2" s="2"/>
      <c r="O2" s="2"/>
      <c r="P2" s="2"/>
      <c r="Q2" s="2"/>
      <c r="R2" s="2"/>
      <c r="S2" s="2"/>
    </row>
    <row r="3" spans="3:19" ht="14" thickBot="1" x14ac:dyDescent="0.3">
      <c r="C3" s="2"/>
      <c r="N3" s="2"/>
      <c r="O3" s="2"/>
      <c r="P3" s="2"/>
      <c r="Q3" s="2"/>
      <c r="R3" s="2"/>
      <c r="S3" s="2"/>
    </row>
    <row r="4" spans="3:19" ht="15" customHeight="1" thickBot="1" x14ac:dyDescent="0.45">
      <c r="C4" s="2"/>
      <c r="I4" s="288" t="s">
        <v>162</v>
      </c>
      <c r="J4" s="289"/>
      <c r="K4" s="289"/>
      <c r="L4" s="290"/>
      <c r="N4" s="2"/>
      <c r="S4" s="2"/>
    </row>
    <row r="5" spans="3:19" ht="14" thickBot="1" x14ac:dyDescent="0.3">
      <c r="C5" s="2"/>
      <c r="I5" s="60" t="s">
        <v>164</v>
      </c>
      <c r="J5" s="61">
        <f>DATE(J7, J6,J8)</f>
        <v>40204</v>
      </c>
      <c r="K5" s="62" t="s">
        <v>165</v>
      </c>
      <c r="L5" s="63">
        <f>DATE(L7,L6,L8)</f>
        <v>45419</v>
      </c>
      <c r="N5" s="2"/>
      <c r="S5" s="2"/>
    </row>
    <row r="6" spans="3:19" ht="15" customHeight="1" thickBot="1" x14ac:dyDescent="0.3">
      <c r="C6" s="2"/>
      <c r="I6" s="60" t="s">
        <v>168</v>
      </c>
      <c r="J6" s="70">
        <v>1</v>
      </c>
      <c r="K6" s="62" t="s">
        <v>168</v>
      </c>
      <c r="L6" s="71">
        <v>5</v>
      </c>
      <c r="N6" s="2"/>
      <c r="O6" s="300" t="s">
        <v>219</v>
      </c>
      <c r="P6" s="301"/>
      <c r="Q6" s="302"/>
      <c r="S6" s="2"/>
    </row>
    <row r="7" spans="3:19" x14ac:dyDescent="0.25">
      <c r="C7" s="2"/>
      <c r="I7" s="60" t="s">
        <v>170</v>
      </c>
      <c r="J7" s="70">
        <v>2010</v>
      </c>
      <c r="K7" s="62" t="s">
        <v>170</v>
      </c>
      <c r="L7" s="71">
        <v>2024</v>
      </c>
      <c r="N7" s="2"/>
      <c r="O7" s="119" t="s">
        <v>216</v>
      </c>
      <c r="P7" s="121"/>
      <c r="Q7" s="126">
        <v>5000</v>
      </c>
      <c r="S7" s="2"/>
    </row>
    <row r="8" spans="3:19" ht="14" thickBot="1" x14ac:dyDescent="0.3">
      <c r="C8" s="2"/>
      <c r="I8" s="75" t="s">
        <v>173</v>
      </c>
      <c r="J8" s="76">
        <v>26</v>
      </c>
      <c r="K8" s="77" t="s">
        <v>173</v>
      </c>
      <c r="L8" s="78">
        <v>7</v>
      </c>
      <c r="N8" s="2"/>
      <c r="O8" s="120" t="s">
        <v>214</v>
      </c>
      <c r="P8" s="146"/>
      <c r="Q8" s="127">
        <v>2.0201340026755776E-2</v>
      </c>
      <c r="S8" s="2"/>
    </row>
    <row r="9" spans="3:19" x14ac:dyDescent="0.25">
      <c r="C9" s="2"/>
      <c r="D9" s="299"/>
      <c r="E9" s="299"/>
      <c r="I9" s="291" t="s">
        <v>162</v>
      </c>
      <c r="J9" s="292"/>
      <c r="K9" s="293"/>
      <c r="L9" s="79">
        <f>(L5-J5)/365</f>
        <v>14.287671232876713</v>
      </c>
      <c r="N9" s="2"/>
      <c r="O9" s="120" t="s">
        <v>213</v>
      </c>
      <c r="P9" s="146"/>
      <c r="Q9" s="128">
        <v>5</v>
      </c>
      <c r="S9" s="2"/>
    </row>
    <row r="10" spans="3:19" ht="14" thickBot="1" x14ac:dyDescent="0.3">
      <c r="C10" s="2"/>
      <c r="D10" s="2"/>
      <c r="E10" s="2"/>
      <c r="I10" s="294" t="s">
        <v>175</v>
      </c>
      <c r="J10" s="295"/>
      <c r="K10" s="296"/>
      <c r="L10" s="80">
        <v>5</v>
      </c>
      <c r="N10" s="58"/>
      <c r="O10" s="120" t="s">
        <v>258</v>
      </c>
      <c r="P10" s="146"/>
      <c r="Q10" s="129">
        <v>12</v>
      </c>
      <c r="S10" s="2"/>
    </row>
    <row r="11" spans="3:19" ht="16" customHeight="1" thickBot="1" x14ac:dyDescent="0.3">
      <c r="C11" s="2"/>
      <c r="D11" s="2"/>
      <c r="E11" s="2"/>
      <c r="M11" s="2"/>
      <c r="N11" s="2"/>
      <c r="O11" s="120" t="s">
        <v>208</v>
      </c>
      <c r="P11" s="146"/>
      <c r="Q11" s="130">
        <v>5200</v>
      </c>
      <c r="S11" s="2"/>
    </row>
    <row r="12" spans="3:19" ht="14" thickBot="1" x14ac:dyDescent="0.3">
      <c r="C12" s="2"/>
      <c r="D12" s="2"/>
      <c r="E12" s="2"/>
      <c r="I12" s="303" t="s">
        <v>47</v>
      </c>
      <c r="J12" s="304"/>
      <c r="K12" s="304" t="s">
        <v>48</v>
      </c>
      <c r="L12" s="305"/>
      <c r="M12" s="2"/>
      <c r="N12" s="2"/>
      <c r="O12" s="120" t="s">
        <v>205</v>
      </c>
      <c r="P12" s="146"/>
      <c r="Q12" s="130">
        <v>6600</v>
      </c>
      <c r="R12" s="2"/>
      <c r="S12" s="2"/>
    </row>
    <row r="13" spans="3:19" ht="14.5" customHeight="1" thickBot="1" x14ac:dyDescent="0.45">
      <c r="C13" s="2"/>
      <c r="D13" s="2"/>
      <c r="E13" s="2"/>
      <c r="F13" s="116"/>
      <c r="G13" s="117"/>
      <c r="H13" s="116"/>
      <c r="I13" s="132" t="s">
        <v>50</v>
      </c>
      <c r="J13" s="135">
        <v>0.08</v>
      </c>
      <c r="K13" s="136"/>
      <c r="L13" s="137"/>
      <c r="O13" s="147" t="s">
        <v>220</v>
      </c>
      <c r="P13" s="148"/>
      <c r="Q13" s="131">
        <v>7.0000000000000007E-2</v>
      </c>
      <c r="R13" s="2"/>
      <c r="S13" s="2"/>
    </row>
    <row r="14" spans="3:19" ht="14.5" customHeight="1" x14ac:dyDescent="0.35">
      <c r="C14" s="2"/>
      <c r="D14" s="2"/>
      <c r="E14" s="2"/>
      <c r="I14" s="133" t="s">
        <v>52</v>
      </c>
      <c r="J14" s="115">
        <v>1</v>
      </c>
      <c r="K14" s="115" t="s">
        <v>52</v>
      </c>
      <c r="L14" s="138">
        <f>Q10</f>
        <v>12</v>
      </c>
      <c r="P14" s="2"/>
      <c r="Q14" s="2"/>
      <c r="R14" s="2"/>
      <c r="S14" s="2"/>
    </row>
    <row r="15" spans="3:19" ht="18.5" x14ac:dyDescent="0.35">
      <c r="I15" s="133" t="s">
        <v>54</v>
      </c>
      <c r="J15" s="115" t="s">
        <v>62</v>
      </c>
      <c r="K15" s="115" t="s">
        <v>54</v>
      </c>
      <c r="L15" s="138" t="s">
        <v>59</v>
      </c>
      <c r="P15" s="2"/>
      <c r="Q15" s="2"/>
      <c r="R15" s="2"/>
      <c r="S15" s="2"/>
    </row>
    <row r="16" spans="3:19" ht="19" thickBot="1" x14ac:dyDescent="0.4">
      <c r="I16" s="134" t="s">
        <v>57</v>
      </c>
      <c r="J16" s="139">
        <v>1</v>
      </c>
      <c r="K16" s="139" t="s">
        <v>57</v>
      </c>
      <c r="L16" s="140">
        <v>1</v>
      </c>
      <c r="P16" s="2"/>
      <c r="Q16" s="2"/>
      <c r="R16" s="2"/>
      <c r="S16" s="2"/>
    </row>
    <row r="17" spans="3:19" ht="19" thickBot="1" x14ac:dyDescent="0.4">
      <c r="I17" s="149" t="s">
        <v>176</v>
      </c>
      <c r="J17" s="150"/>
      <c r="K17" s="151"/>
      <c r="L17" s="81">
        <f>IF(AND(J15=BACKROOM1!Y14,L15=BACKROOM1!Z13),BACKROOM1!Z14,IF(AND(J15=BACKROOM1!Y14,L15=BACKROOM1!AA13),BACKROOM1!AA14,IF(AND(J15=BACKROOM1!Y14,L15=BACKROOM1!AB13),BACKROOM1!AB14,IF(AND(J15=BACKROOM1!Y14,L15=BACKROOM1!AC13),BACKROOM1!AC14,IF(AND(J15=BACKROOM1!Y15,L15=BACKROOM1!Z13),BACKROOM1!Z15,IF(AND(J15=BACKROOM1!Y15,L15=BACKROOM1!AA13),BACKROOM1!AA15,IF(AND(J15=BACKROOM1!Y15,L15=BACKROOM1!AB13),BACKROOM1!AB15,IF(AND(J15=BACKROOM1!Y15,L15=BACKROOM1!AC13),BACKROOM1!AC15,IF(AND(J15=BACKROOM1!Y16,L15=BACKROOM1!Z13),BACKROOM1!Z16,IF(AND(J15=BACKROOM1!Y16,L15=BACKROOM1!AA13),BACKROOM1!AA16,IF(AND(J15=BACKROOM1!Y16,L15=BACKROOM1!AB13),BACKROOM1!AB16,IF(AND(J15=BACKROOM1!Y16,L15=BACKROOM1!AC13),BACKROOM1!AC16,IF(AND(J15=BACKROOM1!Y17,L15=BACKROOM1!Z13),BACKROOM1!Z17,IF(AND(J15=BACKROOM1!Y17,L15=BACKROOM1!AA13),BACKROOM1!AA17,IF(AND(J15=BACKROOM1!Y17,L15=BACKROOM1!AB13),BACKROOM1!AB17,IF(AND(J15=BACKROOM1!Y17,L15=BACKROOM1!AC13),BACKROOM1!AC17,IF(AND(J15=BACKROOM1!Y18,L15=BACKROOM1!Z13),BACKROOM1!Z18,IF(AND(J15=BACKROOM1!Y18,L15=BACKROOM1!AA13),BACKROOM1!AA18,IF(AND(J15=BACKROOM1!Y18,L15=BACKROOM1!AB13),BACKROOM1!AB18,IF(AND(J15=BACKROOM1!Y18,L15=BACKROOM1!AC13),BACKROOM1!AC18,IF(AND(J15=BACKROOM1!Y14,L15=BACKROOM1!AD13),BACKROOM1!AD14,IF(AND(J15=BACKROOM1!Y15,L15=BACKROOM1!AD13),BACKROOM1!AD15,IF(AND(J15=BACKROOM1!Y16,L15=BACKROOM1!AD13),BACKROOM1!AD16,IF(AND(J15=BACKROOM1!Y17,L15=BACKROOM1!AD13),BACKROOM1!AD17,"ERROR"))))))))))))))))))))))))</f>
        <v>6.6889383540194025E-3</v>
      </c>
      <c r="P17" s="2"/>
      <c r="Q17" s="2"/>
      <c r="R17" s="2"/>
      <c r="S17" s="2"/>
    </row>
    <row r="20" spans="3:19" x14ac:dyDescent="0.25">
      <c r="I20" s="2"/>
    </row>
    <row r="21" spans="3:19" x14ac:dyDescent="0.25">
      <c r="C21" s="2"/>
      <c r="D21" s="2"/>
    </row>
    <row r="22" spans="3:19" ht="14" thickBot="1" x14ac:dyDescent="0.3">
      <c r="C22" s="2"/>
      <c r="D22" s="2"/>
    </row>
    <row r="23" spans="3:19" ht="14" thickBot="1" x14ac:dyDescent="0.3">
      <c r="C23" s="2"/>
      <c r="D23" s="2"/>
      <c r="N23" s="300" t="s">
        <v>218</v>
      </c>
      <c r="O23" s="301"/>
      <c r="P23" s="301"/>
      <c r="Q23" s="301" t="s">
        <v>217</v>
      </c>
      <c r="R23" s="301"/>
      <c r="S23" s="302"/>
    </row>
    <row r="24" spans="3:19" x14ac:dyDescent="0.25">
      <c r="C24" s="2"/>
      <c r="D24" s="2"/>
      <c r="N24" s="306" t="s">
        <v>215</v>
      </c>
      <c r="O24" s="307"/>
      <c r="P24" s="141">
        <f>((Q7*(1+Q8)^(Q9*Q10)-1)/Q8)</f>
        <v>821707.10416721285</v>
      </c>
      <c r="Q24" s="122" t="s">
        <v>205</v>
      </c>
      <c r="R24" s="308">
        <f>(Q7*(1+Q8)*((1+Q8)^(Q9*Q10)-1))/Q8</f>
        <v>585848.85716977238</v>
      </c>
      <c r="S24" s="309"/>
    </row>
    <row r="25" spans="3:19" x14ac:dyDescent="0.25">
      <c r="C25" s="2"/>
      <c r="D25" s="2"/>
      <c r="E25" s="2"/>
      <c r="F25" s="2"/>
      <c r="G25" s="2"/>
      <c r="H25" s="2"/>
      <c r="N25" s="120" t="s">
        <v>166</v>
      </c>
      <c r="O25" s="146"/>
      <c r="P25" s="142">
        <f>((Q7*(1-(1+Q8)^(-Q9*Q10)))/Q8)</f>
        <v>172960.2558944753</v>
      </c>
      <c r="Q25" s="123" t="s">
        <v>208</v>
      </c>
      <c r="R25" s="310">
        <f>(Q7*(1+Q8)*(1-(1+Q8)^(-Q9*Q10)))/Q8</f>
        <v>176454.28483491432</v>
      </c>
      <c r="S25" s="311"/>
    </row>
    <row r="26" spans="3:19" x14ac:dyDescent="0.25">
      <c r="C26" s="2"/>
      <c r="D26" s="2"/>
      <c r="E26" s="2"/>
      <c r="F26" s="2"/>
      <c r="G26" s="2"/>
      <c r="H26" s="2"/>
      <c r="N26" s="120" t="s">
        <v>212</v>
      </c>
      <c r="O26" s="146"/>
      <c r="P26" s="143">
        <f>(LOG(BACKROOM1!V28,(1+Q8)))/Q10</f>
        <v>0.10965180752473648</v>
      </c>
      <c r="Q26" s="123" t="s">
        <v>211</v>
      </c>
      <c r="R26" s="316">
        <f>(LOG(BACKROOM1!U12,(1+Q8)))/Q10</f>
        <v>0.11183745469106519</v>
      </c>
      <c r="S26" s="317"/>
    </row>
    <row r="27" spans="3:19" x14ac:dyDescent="0.25">
      <c r="C27" s="2"/>
      <c r="D27" s="2"/>
      <c r="E27" s="2"/>
      <c r="F27" s="2"/>
      <c r="G27" s="2"/>
      <c r="H27" s="2"/>
      <c r="N27" s="120" t="s">
        <v>210</v>
      </c>
      <c r="O27" s="146"/>
      <c r="P27" s="143">
        <f>(LOG(BACKROOM1!U25,(1/(1+Q8))))/Q10</f>
        <v>8.8471798429670734E-2</v>
      </c>
      <c r="Q27" s="123" t="s">
        <v>209</v>
      </c>
      <c r="R27" s="316">
        <f>(LOG(BACKROOM1!U13,(1/(1+Q8))))/Q10</f>
        <v>9.0278548524995769E-2</v>
      </c>
      <c r="S27" s="317"/>
    </row>
    <row r="28" spans="3:19" x14ac:dyDescent="0.25">
      <c r="C28" s="2"/>
      <c r="D28" s="2"/>
      <c r="E28" s="2"/>
      <c r="F28" s="2"/>
      <c r="G28" s="2"/>
      <c r="H28" s="2"/>
      <c r="N28" s="120" t="s">
        <v>207</v>
      </c>
      <c r="O28" s="146"/>
      <c r="P28" s="142">
        <f>((Q12*Q8)/((1+Q8)^(Q9*Q10)-1))</f>
        <v>57.466433208602695</v>
      </c>
      <c r="Q28" s="123" t="s">
        <v>206</v>
      </c>
      <c r="R28" s="310">
        <f>((Q12*Q8)/((1+Q8)*((1+Q8)^(Q9*Q10)-1)))</f>
        <v>56.32852159074362</v>
      </c>
      <c r="S28" s="311"/>
    </row>
    <row r="29" spans="3:19" x14ac:dyDescent="0.25">
      <c r="C29" s="2"/>
      <c r="D29" s="2"/>
      <c r="E29" s="2"/>
      <c r="F29" s="2"/>
      <c r="G29" s="2"/>
      <c r="H29" s="2"/>
      <c r="N29" s="120" t="s">
        <v>204</v>
      </c>
      <c r="O29" s="146"/>
      <c r="P29" s="142">
        <f>((Q11*Q8)/(1-(1+Q8)^(BACKROOM1!V25)))</f>
        <v>150.32355187924122</v>
      </c>
      <c r="Q29" s="123" t="s">
        <v>203</v>
      </c>
      <c r="R29" s="310">
        <f>((Q11*Q8)/((1+Q8)*(1-(1+Q8)^(-Q9*Q10))))</f>
        <v>147.34694611879146</v>
      </c>
      <c r="S29" s="311"/>
    </row>
    <row r="30" spans="3:19" x14ac:dyDescent="0.25">
      <c r="C30" s="2"/>
      <c r="D30" s="2"/>
      <c r="E30" s="2"/>
      <c r="F30" s="2"/>
      <c r="G30" s="2"/>
      <c r="H30" s="2"/>
      <c r="N30" s="120" t="s">
        <v>202</v>
      </c>
      <c r="O30" s="146"/>
      <c r="P30" s="144">
        <f>((Q7*(1+Q8)^(Q9*Q10)-1)/(Q12))</f>
        <v>2.5150885778307113</v>
      </c>
      <c r="Q30" s="124" t="s">
        <v>202</v>
      </c>
      <c r="R30" s="312">
        <f>(Q7*(1+Q8)*((1+Q8)^(Q9*Q10)-1))/Q12</f>
        <v>1.7931715102989167</v>
      </c>
      <c r="S30" s="313"/>
    </row>
    <row r="31" spans="3:19" ht="15" customHeight="1" thickBot="1" x14ac:dyDescent="0.3">
      <c r="C31" s="2"/>
      <c r="D31" s="2"/>
      <c r="E31" s="2"/>
      <c r="F31" s="2"/>
      <c r="G31" s="2"/>
      <c r="H31" s="2"/>
      <c r="N31" s="147" t="s">
        <v>201</v>
      </c>
      <c r="O31" s="148"/>
      <c r="P31" s="145">
        <f>((Q7*(1-(1+Q8)^(BACKROOM1!V25)))/Q11)</f>
        <v>0.67192864239211259</v>
      </c>
      <c r="Q31" s="125" t="s">
        <v>201</v>
      </c>
      <c r="R31" s="314">
        <f>(Q7*(1+Q8)*(1-(1+Q8)^(-Q9*Q10)))/Q11</f>
        <v>0.68550250137079216</v>
      </c>
      <c r="S31" s="315"/>
    </row>
    <row r="32" spans="3:19" x14ac:dyDescent="0.25">
      <c r="C32" s="2"/>
      <c r="D32" s="2"/>
      <c r="E32" s="2"/>
      <c r="F32" s="2"/>
      <c r="G32" s="2"/>
      <c r="H32" s="2"/>
      <c r="S32" s="2"/>
    </row>
    <row r="33" spans="3:19" x14ac:dyDescent="0.25">
      <c r="C33" s="2"/>
      <c r="D33" s="2"/>
      <c r="E33" s="2"/>
      <c r="F33" s="2"/>
      <c r="G33" s="2"/>
      <c r="H33" s="2"/>
      <c r="S33" s="2"/>
    </row>
    <row r="34" spans="3:19" x14ac:dyDescent="0.25">
      <c r="C34" s="2"/>
      <c r="D34" s="2"/>
      <c r="E34" s="2"/>
      <c r="F34" s="2"/>
      <c r="G34" s="2"/>
      <c r="H34" s="2"/>
      <c r="S34" s="2"/>
    </row>
    <row r="35" spans="3:19" x14ac:dyDescent="0.25">
      <c r="C35" s="2"/>
      <c r="D35" s="2"/>
      <c r="E35" s="2"/>
      <c r="F35" s="2"/>
      <c r="G35" s="2"/>
      <c r="H35" s="2"/>
      <c r="S35" s="2"/>
    </row>
    <row r="36" spans="3:19" x14ac:dyDescent="0.25">
      <c r="C36" s="2"/>
      <c r="D36" s="2"/>
      <c r="E36" s="2"/>
      <c r="F36" s="2"/>
      <c r="G36" s="2"/>
      <c r="H36" s="2"/>
      <c r="S36" s="2"/>
    </row>
    <row r="37" spans="3:19" x14ac:dyDescent="0.25">
      <c r="C37" s="2"/>
      <c r="D37" s="2"/>
      <c r="E37" s="2"/>
      <c r="F37" s="2"/>
      <c r="G37" s="2"/>
      <c r="H37" s="2"/>
      <c r="S37" s="2"/>
    </row>
    <row r="38" spans="3:19" x14ac:dyDescent="0.25">
      <c r="C38" s="2"/>
      <c r="D38" s="2"/>
      <c r="E38" s="2"/>
      <c r="F38" s="2"/>
      <c r="G38" s="2"/>
      <c r="H38" s="2"/>
      <c r="I38" s="2"/>
      <c r="J38" s="2"/>
      <c r="K38" s="2"/>
      <c r="L38" s="2"/>
      <c r="M38" s="2"/>
      <c r="N38" s="2"/>
      <c r="O38" s="2"/>
      <c r="P38" s="2"/>
      <c r="Q38" s="2"/>
      <c r="R38" s="2"/>
      <c r="S38" s="2"/>
    </row>
  </sheetData>
  <mergeCells count="18">
    <mergeCell ref="N24:O24"/>
    <mergeCell ref="R24:S24"/>
    <mergeCell ref="R29:S29"/>
    <mergeCell ref="R30:S30"/>
    <mergeCell ref="R31:S31"/>
    <mergeCell ref="R25:S25"/>
    <mergeCell ref="R26:S26"/>
    <mergeCell ref="R27:S27"/>
    <mergeCell ref="R28:S28"/>
    <mergeCell ref="D9:E9"/>
    <mergeCell ref="O6:Q6"/>
    <mergeCell ref="I4:L4"/>
    <mergeCell ref="N23:P23"/>
    <mergeCell ref="Q23:S23"/>
    <mergeCell ref="I9:K9"/>
    <mergeCell ref="I10:K10"/>
    <mergeCell ref="I12:J12"/>
    <mergeCell ref="K12:L12"/>
  </mergeCells>
  <dataValidations count="1">
    <dataValidation type="list" allowBlank="1" showInputMessage="1" showErrorMessage="1" sqref="Q9" xr:uid="{B67EEBA5-66E7-4FF9-B2CE-2EE0D963F88F}">
      <formula1>$L$9:$L$10</formula1>
    </dataValidation>
  </dataValidations>
  <pageMargins left="0.7" right="0.7" top="0.75" bottom="0.75" header="0.3" footer="0.3"/>
  <drawing r:id="rId1"/>
  <picture r:id="rId2"/>
  <extLst>
    <ext xmlns:x14="http://schemas.microsoft.com/office/spreadsheetml/2009/9/main" uri="{CCE6A557-97BC-4b89-ADB6-D9C93CAAB3DF}">
      <x14:dataValidations xmlns:xm="http://schemas.microsoft.com/office/excel/2006/main" count="3">
        <x14:dataValidation type="list" allowBlank="1" showInputMessage="1" showErrorMessage="1" xr:uid="{5E709388-B2D8-4333-893A-3541587B634F}">
          <x14:formula1>
            <xm:f>BACKROOM1!$Y$24:$Z$24</xm:f>
          </x14:formula1>
          <xm:sqref>Q8</xm:sqref>
        </x14:dataValidation>
        <x14:dataValidation type="list" allowBlank="1" showInputMessage="1" showErrorMessage="1" xr:uid="{13E74974-0D08-4CDC-AC2B-28F6D05799CB}">
          <x14:formula1>
            <xm:f>BACKROOM1!$Z$13:$AD$13</xm:f>
          </x14:formula1>
          <xm:sqref>L15</xm:sqref>
        </x14:dataValidation>
        <x14:dataValidation type="list" allowBlank="1" showInputMessage="1" showErrorMessage="1" xr:uid="{BA412C26-51A1-4326-A310-8E4B90837A68}">
          <x14:formula1>
            <xm:f>BACKROOM1!$Y$14:$Y$18</xm:f>
          </x14:formula1>
          <xm:sqref>J15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08A1E-7522-4738-A298-BCE8D1DF8BE3}">
  <sheetPr>
    <tabColor theme="8" tint="-0.499984740745262"/>
  </sheetPr>
  <dimension ref="C2:X39"/>
  <sheetViews>
    <sheetView topLeftCell="I10" zoomScale="78" workbookViewId="0">
      <selection activeCell="P32" sqref="P32"/>
    </sheetView>
  </sheetViews>
  <sheetFormatPr defaultRowHeight="13.5" x14ac:dyDescent="0.25"/>
  <cols>
    <col min="1" max="6" width="8.7265625" style="2"/>
    <col min="7" max="7" width="9.90625" style="2" bestFit="1" customWidth="1"/>
    <col min="8" max="8" width="10.36328125" style="2" bestFit="1" customWidth="1"/>
    <col min="9" max="9" width="12.6328125" style="2" bestFit="1" customWidth="1"/>
    <col min="10" max="10" width="15.54296875" style="2" bestFit="1" customWidth="1"/>
    <col min="11" max="11" width="12.7265625" style="2" customWidth="1"/>
    <col min="12" max="12" width="15.7265625" style="2" bestFit="1" customWidth="1"/>
    <col min="13" max="13" width="15.26953125" style="2" bestFit="1" customWidth="1"/>
    <col min="14" max="14" width="13.90625" style="2" bestFit="1" customWidth="1"/>
    <col min="15" max="15" width="12.81640625" style="2" bestFit="1" customWidth="1"/>
    <col min="16" max="16" width="21.1796875" style="2" bestFit="1" customWidth="1"/>
    <col min="17" max="17" width="18.54296875" style="2" bestFit="1" customWidth="1"/>
    <col min="18" max="18" width="18.08984375" style="2" bestFit="1" customWidth="1"/>
    <col min="19" max="20" width="8.7265625" style="2"/>
    <col min="21" max="21" width="18.08984375" style="2" bestFit="1" customWidth="1"/>
    <col min="22" max="16384" width="8.7265625" style="2"/>
  </cols>
  <sheetData>
    <row r="2" spans="3:21" ht="20.5" thickBot="1" x14ac:dyDescent="0.45">
      <c r="C2" s="208"/>
      <c r="D2" s="208"/>
      <c r="E2" s="208"/>
      <c r="F2" s="209"/>
      <c r="G2" s="209"/>
      <c r="H2" s="209"/>
      <c r="I2" s="209"/>
      <c r="J2" s="209"/>
      <c r="K2" s="209"/>
      <c r="L2" s="209"/>
      <c r="M2" s="209"/>
      <c r="N2" s="209"/>
      <c r="O2" s="209"/>
      <c r="P2" s="209"/>
      <c r="Q2" s="209"/>
      <c r="R2" s="209"/>
      <c r="S2" s="209"/>
      <c r="T2" s="209"/>
      <c r="U2" s="209"/>
    </row>
    <row r="3" spans="3:21" ht="19" thickBot="1" x14ac:dyDescent="0.45">
      <c r="C3" s="58"/>
      <c r="D3" s="210"/>
      <c r="E3" s="58"/>
      <c r="G3" s="288" t="s">
        <v>162</v>
      </c>
      <c r="H3" s="289"/>
      <c r="I3" s="289"/>
      <c r="J3" s="290"/>
      <c r="K3" s="74"/>
    </row>
    <row r="4" spans="3:21" x14ac:dyDescent="0.25">
      <c r="C4" s="58"/>
      <c r="D4" s="58"/>
      <c r="E4" s="58"/>
      <c r="G4" s="60" t="s">
        <v>164</v>
      </c>
      <c r="H4" s="61">
        <f>DATE(H6, H5,H7)</f>
        <v>42019</v>
      </c>
      <c r="I4" s="62" t="s">
        <v>165</v>
      </c>
      <c r="J4" s="63">
        <f>DATE(J6,J5,J7)</f>
        <v>44841</v>
      </c>
      <c r="K4" s="74"/>
    </row>
    <row r="5" spans="3:21" x14ac:dyDescent="0.25">
      <c r="C5" s="58"/>
      <c r="D5" s="58"/>
      <c r="E5" s="58"/>
      <c r="G5" s="60" t="s">
        <v>168</v>
      </c>
      <c r="H5" s="70">
        <v>1</v>
      </c>
      <c r="I5" s="62" t="s">
        <v>168</v>
      </c>
      <c r="J5" s="71">
        <v>10</v>
      </c>
      <c r="K5" s="74"/>
    </row>
    <row r="6" spans="3:21" x14ac:dyDescent="0.25">
      <c r="C6" s="58"/>
      <c r="D6" s="58"/>
      <c r="E6" s="58"/>
      <c r="G6" s="60" t="s">
        <v>170</v>
      </c>
      <c r="H6" s="70">
        <v>2015</v>
      </c>
      <c r="I6" s="62" t="s">
        <v>170</v>
      </c>
      <c r="J6" s="71">
        <v>2022</v>
      </c>
      <c r="K6" s="74"/>
    </row>
    <row r="7" spans="3:21" ht="14" thickBot="1" x14ac:dyDescent="0.3">
      <c r="C7" s="58"/>
      <c r="D7" s="58"/>
      <c r="E7" s="59"/>
      <c r="G7" s="75" t="s">
        <v>173</v>
      </c>
      <c r="H7" s="76">
        <v>15</v>
      </c>
      <c r="I7" s="77" t="s">
        <v>173</v>
      </c>
      <c r="J7" s="78">
        <v>7</v>
      </c>
      <c r="K7" s="74"/>
    </row>
    <row r="8" spans="3:21" x14ac:dyDescent="0.25">
      <c r="C8" s="58"/>
      <c r="D8" s="58"/>
      <c r="E8" s="58"/>
      <c r="G8" s="291" t="s">
        <v>162</v>
      </c>
      <c r="H8" s="292"/>
      <c r="I8" s="293"/>
      <c r="J8" s="79">
        <f>(J4-H4)/365</f>
        <v>7.7315068493150685</v>
      </c>
      <c r="K8" s="74"/>
    </row>
    <row r="9" spans="3:21" ht="14" thickBot="1" x14ac:dyDescent="0.3">
      <c r="G9" s="294" t="s">
        <v>175</v>
      </c>
      <c r="H9" s="295"/>
      <c r="I9" s="296"/>
      <c r="J9" s="80">
        <v>5</v>
      </c>
      <c r="K9" s="74"/>
    </row>
    <row r="10" spans="3:21" ht="14" thickBot="1" x14ac:dyDescent="0.3">
      <c r="J10" s="74"/>
      <c r="K10" s="74"/>
      <c r="O10" s="331" t="s">
        <v>44</v>
      </c>
      <c r="P10" s="332"/>
      <c r="Q10" s="332"/>
      <c r="R10" s="333"/>
    </row>
    <row r="11" spans="3:21" ht="14.5" customHeight="1" x14ac:dyDescent="0.25">
      <c r="G11" s="318" t="s">
        <v>255</v>
      </c>
      <c r="H11" s="319"/>
      <c r="I11" s="319" t="s">
        <v>256</v>
      </c>
      <c r="J11" s="319"/>
      <c r="K11" s="322"/>
      <c r="O11" s="291" t="s">
        <v>223</v>
      </c>
      <c r="P11" s="292"/>
      <c r="Q11" s="292"/>
      <c r="R11" s="227">
        <v>250000</v>
      </c>
    </row>
    <row r="12" spans="3:21" ht="14.5" customHeight="1" thickBot="1" x14ac:dyDescent="0.3">
      <c r="G12" s="320"/>
      <c r="H12" s="321"/>
      <c r="I12" s="321"/>
      <c r="J12" s="321"/>
      <c r="K12" s="323"/>
      <c r="O12" s="329" t="s">
        <v>225</v>
      </c>
      <c r="P12" s="330"/>
      <c r="Q12" s="330"/>
      <c r="R12" s="228">
        <v>10000</v>
      </c>
    </row>
    <row r="13" spans="3:21" ht="18.5" x14ac:dyDescent="0.35">
      <c r="F13" s="211"/>
      <c r="G13" s="237" t="s">
        <v>50</v>
      </c>
      <c r="H13" s="135">
        <v>0.06</v>
      </c>
      <c r="I13" s="136"/>
      <c r="J13" s="238"/>
      <c r="K13" s="239"/>
      <c r="O13" s="329" t="s">
        <v>228</v>
      </c>
      <c r="P13" s="330"/>
      <c r="Q13" s="330"/>
      <c r="R13" s="229">
        <v>7.7315068493150685</v>
      </c>
    </row>
    <row r="14" spans="3:21" ht="18.5" x14ac:dyDescent="0.35">
      <c r="F14" s="58"/>
      <c r="G14" s="240" t="s">
        <v>52</v>
      </c>
      <c r="H14" s="115">
        <v>4</v>
      </c>
      <c r="I14" s="115" t="s">
        <v>52</v>
      </c>
      <c r="J14" s="115">
        <f>'4.LOANS'!R15</f>
        <v>2</v>
      </c>
      <c r="K14" s="241"/>
      <c r="O14" s="329" t="s">
        <v>230</v>
      </c>
      <c r="P14" s="330"/>
      <c r="Q14" s="330"/>
      <c r="R14" s="235">
        <v>0.06</v>
      </c>
    </row>
    <row r="15" spans="3:21" ht="18.5" x14ac:dyDescent="0.35">
      <c r="F15" s="58"/>
      <c r="G15" s="240" t="s">
        <v>54</v>
      </c>
      <c r="H15" s="115" t="s">
        <v>55</v>
      </c>
      <c r="I15" s="115" t="s">
        <v>54</v>
      </c>
      <c r="J15" s="115" t="s">
        <v>56</v>
      </c>
      <c r="K15" s="241"/>
      <c r="O15" s="329" t="s">
        <v>254</v>
      </c>
      <c r="P15" s="330"/>
      <c r="Q15" s="330"/>
      <c r="R15" s="230">
        <v>2</v>
      </c>
    </row>
    <row r="16" spans="3:21" ht="19" thickBot="1" x14ac:dyDescent="0.4">
      <c r="F16" s="58"/>
      <c r="G16" s="240" t="s">
        <v>57</v>
      </c>
      <c r="H16" s="115">
        <v>6</v>
      </c>
      <c r="I16" s="115" t="s">
        <v>57</v>
      </c>
      <c r="J16" s="115">
        <v>6</v>
      </c>
      <c r="K16" s="241"/>
      <c r="O16" s="329" t="s">
        <v>253</v>
      </c>
      <c r="P16" s="330"/>
      <c r="Q16" s="330"/>
      <c r="R16" s="230">
        <v>2</v>
      </c>
    </row>
    <row r="17" spans="6:24" ht="19" thickBot="1" x14ac:dyDescent="0.4">
      <c r="F17" s="58"/>
      <c r="G17" s="326" t="s">
        <v>176</v>
      </c>
      <c r="H17" s="327"/>
      <c r="I17" s="328"/>
      <c r="J17" s="324">
        <f>IF(AND(H15=BACKROOM1!AK28,J15=BACKROOM1!AL27),BACKROOM1!AL28,IF(AND(H15=BACKROOM1!AK28,J15=BACKROOM1!AM27),BACKROOM1!AM28,IF(AND(H15=BACKROOM1!AK28,J15=BACKROOM1!AN27),BACKROOM1!AN28,IF(AND(H15=BACKROOM1!AK28,J15=BACKROOM1!AO27),BACKROOM1!AO28,IF(AND(H15=BACKROOM1!AK29,J15=BACKROOM1!AL27),BACKROOM1!AL29,IF(AND(H15=BACKROOM1!AK29,J15=BACKROOM1!AM27),BACKROOM1!AM29,IF(AND(H15=BACKROOM1!AK29,J15=BACKROOM1!AN27),BACKROOM1!AN29,IF(AND(H15=BACKROOM1!AK29,J15=BACKROOM1!AO27),BACKROOM1!AO29,IF(AND(H15=BACKROOM1!AK30,J15=BACKROOM1!AL27),BACKROOM1!AL30,IF(AND(H15=BACKROOM1!AK30,J15=BACKROOM1!AM27),BACKROOM1!AM30,IF(AND(H15=BACKROOM1!AK30,J15=BACKROOM1!AN27),BACKROOM1!AN30,IF(AND(H15=BACKROOM1!AK30,J15=BACKROOM1!AO27),BACKROOM1!AO30,IF(AND(H15=BACKROOM1!AK31,J15=BACKROOM1!AL27),BACKROOM1!AL31,IF(AND(H15=BACKROOM1!AK31,J15=BACKROOM1!AM27),BACKROOM1!AM31,IF(AND(H15=BACKROOM1!AK31,J15=BACKROOM1!AN27),BACKROOM1!AN31,IF(AND(H15=BACKROOM1!AK31,J15=BACKROOM1!AO27),BACKROOM1!AO31,IF(AND(H15=BACKROOM1!AK32,J15=BACKROOM1!AL27),BACKROOM1!AL32,IF(AND(H15=BACKROOM1!AK32,J15=BACKROOM1!AM27),BACKROOM1!AM32,IF(AND(H15=BACKROOM1!AK32,J15=BACKROOM1!AN27),BACKROOM1!AN32,IF(AND(H15=BACKROOM1!AK32,J15=BACKROOM1!AO27),BACKROOM1!AO32,IF(AND(H15=BACKROOM1!AK28,J15=BACKROOM1!AP27),BACKROOM1!AP28,IF(AND(H15=BACKROOM1!AK29,J15=BACKROOM1!AP27),BACKROOM1!AP29,IF(AND(H15=BACKROOM1!AK30,J15=BACKROOM1!AP27),BACKROOM1!AP30,IF(AND(H15=BACKROOM1!AK31,J15=BACKROOM1!AP27),BACKROOM1!AP31,"ERROR"))))))))))))))))))))))))</f>
        <v>3.0224999999999724E-2</v>
      </c>
      <c r="K17" s="325"/>
      <c r="O17" s="294" t="s">
        <v>257</v>
      </c>
      <c r="P17" s="295"/>
      <c r="Q17" s="296"/>
      <c r="R17" s="236">
        <v>0.06</v>
      </c>
    </row>
    <row r="18" spans="6:24" x14ac:dyDescent="0.25">
      <c r="O18" s="232"/>
      <c r="P18" s="233" t="s">
        <v>234</v>
      </c>
      <c r="Q18" s="234">
        <f>R16</f>
        <v>2</v>
      </c>
      <c r="R18" s="230">
        <f>R16*R15</f>
        <v>4</v>
      </c>
    </row>
    <row r="19" spans="6:24" x14ac:dyDescent="0.25">
      <c r="O19" s="60"/>
      <c r="P19" s="224" t="s">
        <v>236</v>
      </c>
      <c r="Q19" s="71">
        <f>Q18+1</f>
        <v>3</v>
      </c>
      <c r="R19" s="230">
        <f>Q19*R15</f>
        <v>6</v>
      </c>
    </row>
    <row r="20" spans="6:24" ht="14" thickBot="1" x14ac:dyDescent="0.3">
      <c r="O20" s="75"/>
      <c r="P20" s="225" t="s">
        <v>238</v>
      </c>
      <c r="Q20" s="226">
        <f>Q18-1</f>
        <v>1</v>
      </c>
      <c r="R20" s="231">
        <f>Q20*R15</f>
        <v>2</v>
      </c>
      <c r="S20" s="87"/>
      <c r="T20" s="87"/>
      <c r="U20" s="87"/>
      <c r="V20" s="87"/>
      <c r="W20" s="87"/>
      <c r="X20" s="87"/>
    </row>
    <row r="21" spans="6:24" x14ac:dyDescent="0.25">
      <c r="O21" s="87"/>
      <c r="P21" s="87"/>
      <c r="Q21" s="87"/>
      <c r="R21" s="87"/>
      <c r="S21" s="87"/>
      <c r="T21" s="87"/>
      <c r="U21" s="87"/>
      <c r="V21" s="87"/>
      <c r="W21" s="87"/>
      <c r="X21" s="87"/>
    </row>
    <row r="22" spans="6:24" x14ac:dyDescent="0.25">
      <c r="S22" s="87"/>
      <c r="T22" s="87"/>
      <c r="U22" s="87"/>
      <c r="V22" s="87"/>
      <c r="W22" s="87"/>
      <c r="X22" s="87"/>
    </row>
    <row r="23" spans="6:24" x14ac:dyDescent="0.25">
      <c r="S23" s="87"/>
      <c r="T23" s="87"/>
      <c r="U23" s="87"/>
      <c r="V23" s="87"/>
      <c r="W23" s="87"/>
      <c r="X23" s="87"/>
    </row>
    <row r="24" spans="6:24" x14ac:dyDescent="0.25">
      <c r="S24" s="87"/>
      <c r="T24" s="87"/>
      <c r="U24" s="87"/>
      <c r="V24" s="87"/>
      <c r="W24" s="87"/>
      <c r="X24" s="87"/>
    </row>
    <row r="25" spans="6:24" ht="14" thickBot="1" x14ac:dyDescent="0.3">
      <c r="S25" s="87"/>
      <c r="T25" s="87"/>
      <c r="U25" s="87"/>
      <c r="V25" s="87"/>
      <c r="W25" s="87"/>
      <c r="X25" s="87"/>
    </row>
    <row r="26" spans="6:24" ht="19" thickBot="1" x14ac:dyDescent="0.45">
      <c r="M26" s="300" t="s">
        <v>15</v>
      </c>
      <c r="N26" s="301"/>
      <c r="O26" s="301"/>
      <c r="P26" s="302"/>
      <c r="Q26" s="74"/>
      <c r="R26" s="288" t="s">
        <v>222</v>
      </c>
      <c r="S26" s="334"/>
      <c r="T26" s="334"/>
      <c r="U26" s="335"/>
      <c r="V26" s="87"/>
      <c r="W26" s="87"/>
      <c r="X26" s="87"/>
    </row>
    <row r="27" spans="6:24" x14ac:dyDescent="0.25">
      <c r="M27" s="291" t="s">
        <v>224</v>
      </c>
      <c r="N27" s="292"/>
      <c r="O27" s="292"/>
      <c r="P27" s="214">
        <f>((R11*R14)/(1-(1+R14)^(-R15*R13)))</f>
        <v>25259.245907117856</v>
      </c>
      <c r="Q27" s="74"/>
      <c r="R27" s="291" t="s">
        <v>224</v>
      </c>
      <c r="S27" s="292"/>
      <c r="T27" s="292"/>
      <c r="U27" s="214">
        <f>((R11*R14)/((1+R14)*(1-(1+R14)^(-R15*R13))))</f>
        <v>23829.4772708659</v>
      </c>
      <c r="V27" s="87"/>
      <c r="W27" s="87"/>
      <c r="X27" s="87"/>
    </row>
    <row r="28" spans="6:24" x14ac:dyDescent="0.25">
      <c r="M28" s="329" t="s">
        <v>226</v>
      </c>
      <c r="N28" s="330"/>
      <c r="O28" s="330"/>
      <c r="P28" s="215">
        <f>((R12*(1-(1+R14)^(-BACKROOM1!AM38))/(R14)))</f>
        <v>98973.659355979427</v>
      </c>
      <c r="Q28" s="74"/>
      <c r="R28" s="329" t="s">
        <v>227</v>
      </c>
      <c r="S28" s="330"/>
      <c r="T28" s="330"/>
      <c r="U28" s="219">
        <f>((R12*(1+R14)*(1-(1+R14)^(-R13*R15)))/R14)</f>
        <v>104912.07891733819</v>
      </c>
      <c r="V28" s="87"/>
      <c r="W28" s="87"/>
      <c r="X28" s="87"/>
    </row>
    <row r="29" spans="6:24" x14ac:dyDescent="0.25">
      <c r="M29" s="329" t="s">
        <v>229</v>
      </c>
      <c r="N29" s="330"/>
      <c r="O29" s="330"/>
      <c r="P29" s="216">
        <f>((R11*(1+R14)^R18)-((R12*((1+R14)^(R18)-1))/R14))</f>
        <v>271873.08000000007</v>
      </c>
      <c r="Q29" s="74"/>
      <c r="R29" s="329" t="s">
        <v>229</v>
      </c>
      <c r="S29" s="330"/>
      <c r="T29" s="330"/>
      <c r="U29" s="220">
        <f>(R11*(1+R14)^(R18))-((R12*(1+R14)*(((1+R14)^(R18)-1))/R14))</f>
        <v>269248.31040000007</v>
      </c>
      <c r="V29" s="87"/>
      <c r="W29" s="87"/>
      <c r="X29" s="87"/>
    </row>
    <row r="30" spans="6:24" x14ac:dyDescent="0.25">
      <c r="M30" s="329" t="s">
        <v>231</v>
      </c>
      <c r="N30" s="330"/>
      <c r="O30" s="330"/>
      <c r="P30" s="215">
        <f>((BACKROOM1!AQ19-R12)*(1+R14)^(R18)+R12)</f>
        <v>16312.384800000002</v>
      </c>
      <c r="Q30" s="74"/>
      <c r="R30" s="329" t="s">
        <v>231</v>
      </c>
      <c r="S30" s="330"/>
      <c r="T30" s="330"/>
      <c r="U30" s="221">
        <f>U29*R14</f>
        <v>16154.898624000003</v>
      </c>
      <c r="V30" s="87"/>
      <c r="W30" s="87"/>
      <c r="X30" s="87"/>
    </row>
    <row r="31" spans="6:24" x14ac:dyDescent="0.25">
      <c r="M31" s="329" t="s">
        <v>232</v>
      </c>
      <c r="N31" s="330"/>
      <c r="O31" s="330"/>
      <c r="P31" s="215">
        <f>((R12-P30))</f>
        <v>-6312.3848000000016</v>
      </c>
      <c r="Q31" s="74"/>
      <c r="R31" s="329" t="s">
        <v>232</v>
      </c>
      <c r="S31" s="330"/>
      <c r="T31" s="330"/>
      <c r="U31" s="221">
        <f>R12-U30</f>
        <v>-6154.8986240000031</v>
      </c>
      <c r="V31" s="87"/>
      <c r="W31" s="87"/>
      <c r="X31" s="87"/>
    </row>
    <row r="32" spans="6:24" x14ac:dyDescent="0.25">
      <c r="M32" s="329" t="s">
        <v>233</v>
      </c>
      <c r="N32" s="330"/>
      <c r="O32" s="330"/>
      <c r="P32" s="217" t="e">
        <f>ROUNDUP(-LN(1-(R11*R14)/R12)/LN(1+R14),0)</f>
        <v>#NUM!</v>
      </c>
      <c r="Q32" s="74"/>
      <c r="R32" s="329" t="s">
        <v>233</v>
      </c>
      <c r="S32" s="330"/>
      <c r="T32" s="330"/>
      <c r="U32" s="222" t="e">
        <f>ROUNDUP(-LN(1-(R11*R14)/R12)/LN(1+R14),0)</f>
        <v>#NUM!</v>
      </c>
      <c r="V32" s="87"/>
      <c r="W32" s="87"/>
      <c r="X32" s="87"/>
    </row>
    <row r="33" spans="12:24" x14ac:dyDescent="0.25">
      <c r="M33" s="329" t="s">
        <v>235</v>
      </c>
      <c r="N33" s="330"/>
      <c r="O33" s="330"/>
      <c r="P33" s="215" t="e">
        <f>((R11*(1+R14)^(P32-1)-((R12*((1+R14)^(P32-1)-1))/R14))*(1+R14))</f>
        <v>#NUM!</v>
      </c>
      <c r="Q33" s="74"/>
      <c r="R33" s="329" t="s">
        <v>235</v>
      </c>
      <c r="S33" s="330"/>
      <c r="T33" s="330"/>
      <c r="U33" s="221" t="e">
        <f>(R11*(1+R14)^(U32-1))-((R12*(1+R14)*((1+R14)^(U32-1)-1))/R14)</f>
        <v>#NUM!</v>
      </c>
      <c r="V33" s="87"/>
      <c r="W33" s="87"/>
      <c r="X33" s="87"/>
    </row>
    <row r="34" spans="12:24" x14ac:dyDescent="0.25">
      <c r="M34" s="329" t="s">
        <v>237</v>
      </c>
      <c r="N34" s="330"/>
      <c r="O34" s="330"/>
      <c r="P34" s="215">
        <f>BACKROOM1!AM44-BACKROOM1!AN44</f>
        <v>-11573.080000000016</v>
      </c>
      <c r="Q34" s="74"/>
      <c r="R34" s="329"/>
      <c r="S34" s="330"/>
      <c r="T34" s="330"/>
      <c r="U34" s="221"/>
      <c r="V34" s="87"/>
      <c r="W34" s="87"/>
      <c r="X34" s="87"/>
    </row>
    <row r="35" spans="12:24" x14ac:dyDescent="0.25">
      <c r="M35" s="329" t="s">
        <v>239</v>
      </c>
      <c r="N35" s="330"/>
      <c r="O35" s="330"/>
      <c r="P35" s="215">
        <f>((BACKROOM1!AM39)*(BACKROOM1!AM41)+BACKROOM1!AM42)-((BACKROOM1!AM39)*(BACKROOM1!AN41)+BACKROOM1!AN42)</f>
        <v>31573.080000000016</v>
      </c>
      <c r="Q35" s="74"/>
      <c r="R35" s="329"/>
      <c r="S35" s="330"/>
      <c r="T35" s="330"/>
      <c r="U35" s="221"/>
      <c r="V35" s="87"/>
      <c r="W35" s="87"/>
      <c r="X35" s="87"/>
    </row>
    <row r="36" spans="12:24" x14ac:dyDescent="0.25">
      <c r="M36" s="329" t="s">
        <v>240</v>
      </c>
      <c r="N36" s="330"/>
      <c r="O36" s="330"/>
      <c r="P36" s="215">
        <f>((R13*R15)*R12)-R11</f>
        <v>-95369.863013698632</v>
      </c>
      <c r="Q36" s="74"/>
      <c r="R36" s="329" t="s">
        <v>240</v>
      </c>
      <c r="S36" s="330"/>
      <c r="T36" s="330"/>
      <c r="U36" s="221">
        <f>(R12*(R15*R13)-R11)</f>
        <v>-95369.863013698632</v>
      </c>
      <c r="V36" s="87"/>
      <c r="W36" s="87"/>
      <c r="X36" s="87"/>
    </row>
    <row r="37" spans="12:24" ht="14" thickBot="1" x14ac:dyDescent="0.3">
      <c r="M37" s="294" t="s">
        <v>241</v>
      </c>
      <c r="N37" s="295"/>
      <c r="O37" s="295"/>
      <c r="P37" s="218" t="e">
        <f>R13*P33-R12</f>
        <v>#NUM!</v>
      </c>
      <c r="Q37" s="74"/>
      <c r="R37" s="294"/>
      <c r="S37" s="295"/>
      <c r="T37" s="295"/>
      <c r="U37" s="223"/>
    </row>
    <row r="38" spans="12:24" x14ac:dyDescent="0.25">
      <c r="L38" s="336"/>
      <c r="M38" s="336"/>
      <c r="N38" s="336"/>
      <c r="O38" s="59"/>
      <c r="P38" s="74"/>
      <c r="Q38" s="74"/>
      <c r="R38" s="336"/>
      <c r="S38" s="336"/>
      <c r="T38" s="336"/>
      <c r="U38" s="213"/>
    </row>
    <row r="39" spans="12:24" x14ac:dyDescent="0.25">
      <c r="L39" s="336"/>
      <c r="M39" s="336"/>
      <c r="N39" s="336"/>
      <c r="P39" s="74"/>
      <c r="Q39" s="74"/>
      <c r="R39" s="336"/>
      <c r="S39" s="336"/>
      <c r="T39" s="336"/>
      <c r="U39" s="212"/>
    </row>
  </sheetData>
  <mergeCells count="43">
    <mergeCell ref="L39:N39"/>
    <mergeCell ref="R39:T39"/>
    <mergeCell ref="M27:O27"/>
    <mergeCell ref="M28:O28"/>
    <mergeCell ref="M29:O29"/>
    <mergeCell ref="M30:O30"/>
    <mergeCell ref="M31:O31"/>
    <mergeCell ref="M32:O32"/>
    <mergeCell ref="R36:T36"/>
    <mergeCell ref="R37:T37"/>
    <mergeCell ref="L38:N38"/>
    <mergeCell ref="R38:T38"/>
    <mergeCell ref="M36:O36"/>
    <mergeCell ref="M37:O37"/>
    <mergeCell ref="R33:T33"/>
    <mergeCell ref="R34:T34"/>
    <mergeCell ref="R26:U26"/>
    <mergeCell ref="O11:Q11"/>
    <mergeCell ref="R27:T27"/>
    <mergeCell ref="O12:Q12"/>
    <mergeCell ref="R35:T35"/>
    <mergeCell ref="M33:O33"/>
    <mergeCell ref="M34:O34"/>
    <mergeCell ref="M35:O35"/>
    <mergeCell ref="O15:Q15"/>
    <mergeCell ref="R31:T31"/>
    <mergeCell ref="O16:Q16"/>
    <mergeCell ref="R32:T32"/>
    <mergeCell ref="M26:P26"/>
    <mergeCell ref="R28:T28"/>
    <mergeCell ref="R29:T29"/>
    <mergeCell ref="R30:T30"/>
    <mergeCell ref="G3:J3"/>
    <mergeCell ref="G8:I8"/>
    <mergeCell ref="G9:I9"/>
    <mergeCell ref="O17:Q17"/>
    <mergeCell ref="G11:H12"/>
    <mergeCell ref="I11:K12"/>
    <mergeCell ref="J17:K17"/>
    <mergeCell ref="G17:I17"/>
    <mergeCell ref="O13:Q13"/>
    <mergeCell ref="O14:Q14"/>
    <mergeCell ref="O10:R10"/>
  </mergeCells>
  <dataValidations count="3">
    <dataValidation type="list" allowBlank="1" showInputMessage="1" showErrorMessage="1" sqref="H15" xr:uid="{DADAFE8B-80E0-4F2D-88CF-C08D1A4439FA}">
      <formula1>$H$87:$H$91</formula1>
    </dataValidation>
    <dataValidation type="list" allowBlank="1" showInputMessage="1" showErrorMessage="1" sqref="J15" xr:uid="{7B714105-868C-41CA-9639-0D29EFFBEDD2}">
      <formula1>$J$40:$N$40</formula1>
    </dataValidation>
    <dataValidation type="list" allowBlank="1" showInputMessage="1" showErrorMessage="1" sqref="R13" xr:uid="{937D08E7-D938-4D82-ACE8-6DAEB51FD67A}">
      <formula1>$J$8:$J$9</formula1>
    </dataValidation>
  </dataValidations>
  <pageMargins left="0.7" right="0.7" top="0.75" bottom="0.75" header="0.3" footer="0.3"/>
  <picture r:id="rId1"/>
  <extLst>
    <ext xmlns:x14="http://schemas.microsoft.com/office/spreadsheetml/2009/9/main" uri="{CCE6A557-97BC-4b89-ADB6-D9C93CAAB3DF}">
      <x14:dataValidations xmlns:xm="http://schemas.microsoft.com/office/excel/2006/main" count="1">
        <x14:dataValidation type="list" allowBlank="1" showInputMessage="1" showErrorMessage="1" xr:uid="{4915090F-CF49-4C62-82A2-95A06BB85C79}">
          <x14:formula1>
            <xm:f>BACKROOM1!$AL$15:$AL$16</xm:f>
          </x14:formula1>
          <xm:sqref>R14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7FF4D-6488-4B9D-9DEF-BCE5BFD28507}">
  <sheetPr>
    <tabColor theme="8" tint="-0.499984740745262"/>
  </sheetPr>
  <dimension ref="B7:T42"/>
  <sheetViews>
    <sheetView topLeftCell="C6" zoomScale="111" zoomScaleNormal="80" workbookViewId="0">
      <selection activeCell="M38" sqref="M38"/>
    </sheetView>
  </sheetViews>
  <sheetFormatPr defaultRowHeight="13.5" x14ac:dyDescent="0.25"/>
  <cols>
    <col min="1" max="1" width="9.6328125" style="2" customWidth="1"/>
    <col min="2" max="2" width="11" style="2" customWidth="1"/>
    <col min="3" max="3" width="8.7265625" style="2"/>
    <col min="4" max="4" width="15.08984375" style="2" bestFit="1" customWidth="1"/>
    <col min="5" max="5" width="10.36328125" style="2" bestFit="1" customWidth="1"/>
    <col min="6" max="6" width="9.81640625" style="2" bestFit="1" customWidth="1"/>
    <col min="7" max="7" width="21.26953125" style="2" bestFit="1" customWidth="1"/>
    <col min="8" max="8" width="8.81640625" style="2" bestFit="1" customWidth="1"/>
    <col min="9" max="9" width="9.81640625" style="2" bestFit="1" customWidth="1"/>
    <col min="10" max="10" width="15" style="2" bestFit="1" customWidth="1"/>
    <col min="11" max="11" width="10.36328125" style="2" customWidth="1"/>
    <col min="12" max="12" width="8.7265625" style="2"/>
    <col min="13" max="13" width="25.54296875" style="2" bestFit="1" customWidth="1"/>
    <col min="14" max="14" width="10.7265625" style="2" bestFit="1" customWidth="1"/>
    <col min="15" max="15" width="8.81640625" style="2" bestFit="1" customWidth="1"/>
    <col min="16" max="16384" width="8.7265625" style="2"/>
  </cols>
  <sheetData>
    <row r="7" spans="2:20" x14ac:dyDescent="0.25">
      <c r="H7" s="3" t="s">
        <v>0</v>
      </c>
      <c r="I7" s="3" t="s">
        <v>44</v>
      </c>
    </row>
    <row r="8" spans="2:20" x14ac:dyDescent="0.25">
      <c r="H8" s="189" t="s">
        <v>1</v>
      </c>
      <c r="I8" s="118">
        <v>0.02</v>
      </c>
      <c r="S8" s="349"/>
      <c r="T8" s="349"/>
    </row>
    <row r="9" spans="2:20" x14ac:dyDescent="0.25">
      <c r="H9" s="189" t="s">
        <v>2</v>
      </c>
      <c r="I9" s="189">
        <v>10000</v>
      </c>
      <c r="S9" s="342"/>
      <c r="T9" s="342"/>
    </row>
    <row r="10" spans="2:20" x14ac:dyDescent="0.25">
      <c r="H10" s="189" t="s">
        <v>3</v>
      </c>
      <c r="I10" s="189">
        <v>10</v>
      </c>
      <c r="S10" s="342"/>
      <c r="T10" s="342"/>
    </row>
    <row r="11" spans="2:20" x14ac:dyDescent="0.25">
      <c r="H11" s="189" t="s">
        <v>46</v>
      </c>
      <c r="I11" s="189">
        <v>4</v>
      </c>
      <c r="S11" s="342"/>
      <c r="T11" s="342"/>
    </row>
    <row r="12" spans="2:20" x14ac:dyDescent="0.25">
      <c r="H12" s="189" t="s">
        <v>4</v>
      </c>
      <c r="I12" s="189">
        <v>4</v>
      </c>
      <c r="S12" s="342"/>
      <c r="T12" s="342"/>
    </row>
    <row r="13" spans="2:20" x14ac:dyDescent="0.25">
      <c r="H13" s="189" t="s">
        <v>5</v>
      </c>
      <c r="I13" s="189">
        <v>10</v>
      </c>
      <c r="S13" s="342"/>
      <c r="T13" s="342"/>
    </row>
    <row r="14" spans="2:20" x14ac:dyDescent="0.25">
      <c r="B14" s="4"/>
      <c r="C14" s="4"/>
      <c r="H14" s="189" t="s">
        <v>6</v>
      </c>
      <c r="I14" s="190">
        <v>0.05</v>
      </c>
      <c r="S14" s="342"/>
      <c r="T14" s="342"/>
    </row>
    <row r="15" spans="2:20" x14ac:dyDescent="0.25">
      <c r="H15" s="189" t="s">
        <v>7</v>
      </c>
      <c r="I15" s="189">
        <v>400000</v>
      </c>
      <c r="S15" s="342"/>
      <c r="T15" s="342"/>
    </row>
    <row r="16" spans="2:20" x14ac:dyDescent="0.25">
      <c r="H16" s="189" t="s">
        <v>8</v>
      </c>
      <c r="I16" s="189">
        <v>800000</v>
      </c>
      <c r="S16" s="342"/>
      <c r="T16" s="342"/>
    </row>
    <row r="17" spans="2:20" x14ac:dyDescent="0.25">
      <c r="S17" s="342"/>
      <c r="T17" s="342"/>
    </row>
    <row r="18" spans="2:20" x14ac:dyDescent="0.25">
      <c r="B18" s="4"/>
      <c r="C18" s="4"/>
      <c r="S18" s="342"/>
      <c r="T18" s="342"/>
    </row>
    <row r="19" spans="2:20" x14ac:dyDescent="0.25">
      <c r="S19" s="342"/>
      <c r="T19" s="342"/>
    </row>
    <row r="20" spans="2:20" ht="14" thickBot="1" x14ac:dyDescent="0.3">
      <c r="S20" s="342"/>
      <c r="T20" s="342"/>
    </row>
    <row r="21" spans="2:20" ht="14" thickBot="1" x14ac:dyDescent="0.3">
      <c r="D21" s="346" t="s">
        <v>251</v>
      </c>
      <c r="E21" s="347"/>
      <c r="F21" s="347"/>
      <c r="G21" s="347"/>
      <c r="H21" s="347"/>
      <c r="I21" s="348"/>
      <c r="J21" s="346" t="s">
        <v>250</v>
      </c>
      <c r="K21" s="347"/>
      <c r="L21" s="347"/>
      <c r="M21" s="347"/>
      <c r="N21" s="347"/>
      <c r="O21" s="348"/>
      <c r="S21" s="342"/>
      <c r="T21" s="342"/>
    </row>
    <row r="22" spans="2:20" ht="14" thickBot="1" x14ac:dyDescent="0.3">
      <c r="B22" s="4"/>
      <c r="C22" s="4"/>
      <c r="D22" s="343" t="s">
        <v>15</v>
      </c>
      <c r="E22" s="344"/>
      <c r="F22" s="345"/>
      <c r="G22" s="346" t="s">
        <v>16</v>
      </c>
      <c r="H22" s="347"/>
      <c r="I22" s="348"/>
      <c r="J22" s="343" t="s">
        <v>15</v>
      </c>
      <c r="K22" s="344"/>
      <c r="L22" s="345"/>
      <c r="M22" s="341" t="s">
        <v>16</v>
      </c>
      <c r="N22" s="341"/>
      <c r="O22" s="341"/>
      <c r="S22" s="342"/>
      <c r="T22" s="342"/>
    </row>
    <row r="23" spans="2:20" x14ac:dyDescent="0.25">
      <c r="D23" s="193" t="s">
        <v>243</v>
      </c>
      <c r="E23" s="350">
        <f>(I16/(BACKROOM1!AY7/BACKROOM1!AZ7))/(((1+I8)^(I12)-1)/I8)</f>
        <v>10869.556834198973</v>
      </c>
      <c r="F23" s="354"/>
      <c r="G23" s="355">
        <f>((I16/(BACKROOM1!AY7/BACKROOM1!AZ7))*I8)/((1+I8)*((1+I8)^I12-1))</f>
        <v>10656.428268822519</v>
      </c>
      <c r="H23" s="351"/>
      <c r="I23" s="356"/>
      <c r="J23" s="193" t="s">
        <v>245</v>
      </c>
      <c r="K23" s="350">
        <f>I16/(((1+I8)^(I10*I11)-(1+I14)^(I11*I10))/(I8-I14))</f>
        <v>4966.9397915943982</v>
      </c>
      <c r="L23" s="350"/>
      <c r="M23" s="353">
        <f>(I16/(1+I8))/(((1+I8)^(I10*I11)-(1+I14)^(I11*I10))/(I8-I14))</f>
        <v>4869.5488152886255</v>
      </c>
      <c r="N23" s="350"/>
      <c r="O23" s="354"/>
      <c r="S23" s="342"/>
      <c r="T23" s="342"/>
    </row>
    <row r="24" spans="2:20" x14ac:dyDescent="0.25">
      <c r="D24" s="191" t="s">
        <v>244</v>
      </c>
      <c r="E24" s="351">
        <f>(((I15*((1+I8)^(I12*I13)))/(BACKROOM1!AY7/BACKROOM1!AZ7))*I8)/((1+I8)^(I12)-1)</f>
        <v>12000.206307913606</v>
      </c>
      <c r="F24" s="356"/>
      <c r="G24" s="355">
        <f>(((I15*(1+I8)^(I12*I13))/(BACKROOM1!AY7/BACKROOM1!AZ7))*I8)/((1+I8)*((1+I8)^(I12)-1))</f>
        <v>11764.908145013338</v>
      </c>
      <c r="H24" s="351"/>
      <c r="I24" s="356"/>
      <c r="J24" s="191" t="s">
        <v>246</v>
      </c>
      <c r="K24" s="351">
        <f>(I15*(1+I8)^(I11*I10)*(I8-I14))/((1+I8)^(I11*I10)-(1+I14)^(I11*I10))</f>
        <v>5483.600033313659</v>
      </c>
      <c r="L24" s="351"/>
      <c r="M24" s="355">
        <f>((I15*(1+I8)^(I11*I10)))/(1+I8)/(((1+I8)^(I10*I11)-(1+I14)^(I11*I10))/(I8-I14))</f>
        <v>5376.0784640329985</v>
      </c>
      <c r="N24" s="351"/>
      <c r="O24" s="356"/>
      <c r="S24" s="52"/>
      <c r="T24" s="52"/>
    </row>
    <row r="25" spans="2:20" x14ac:dyDescent="0.25">
      <c r="D25" s="191" t="s">
        <v>163</v>
      </c>
      <c r="E25" s="351">
        <f>BACKROOM1!AX7*(BACKROOM1!AY7/BACKROOM1!AZ7)</f>
        <v>736000.56764315697</v>
      </c>
      <c r="F25" s="356"/>
      <c r="G25" s="355">
        <f>BACKROOM1!AX8*(BACKROOM1!AY7/BACKROOM1!AZ7)</f>
        <v>750720.57899602025</v>
      </c>
      <c r="H25" s="351"/>
      <c r="I25" s="356"/>
      <c r="J25" s="191" t="s">
        <v>163</v>
      </c>
      <c r="K25" s="351">
        <f>(I9*((1+I8)^(I11*I10)-(1+I14)^(I11*I10)))/(I8-I14)</f>
        <v>1610649.6828365987</v>
      </c>
      <c r="L25" s="351"/>
      <c r="M25" s="355">
        <f>(I9*(1+I8))*(((1+I8)^(I10*I11)-(1+I14)^(I11*I10))/(I8-I14))</f>
        <v>1642862.6764933309</v>
      </c>
      <c r="N25" s="351"/>
      <c r="O25" s="356"/>
      <c r="S25" s="342"/>
      <c r="T25" s="342"/>
    </row>
    <row r="26" spans="2:20" ht="14" thickBot="1" x14ac:dyDescent="0.3">
      <c r="D26" s="192" t="s">
        <v>166</v>
      </c>
      <c r="E26" s="352">
        <f>E25/((1+I8)^(I13*I12))</f>
        <v>333327.60265647905</v>
      </c>
      <c r="F26" s="358"/>
      <c r="G26" s="357">
        <f>G25/((1+I8)^(I12*I13))</f>
        <v>339994.1547096087</v>
      </c>
      <c r="H26" s="352"/>
      <c r="I26" s="358"/>
      <c r="J26" s="192" t="s">
        <v>166</v>
      </c>
      <c r="K26" s="352">
        <f>(K25)/(1+I8)^(I10*I11)</f>
        <v>729447.8035778366</v>
      </c>
      <c r="L26" s="352"/>
      <c r="M26" s="357">
        <f>M25/(1+I8)^(I11*I10)</f>
        <v>744036.75964939338</v>
      </c>
      <c r="N26" s="352"/>
      <c r="O26" s="358"/>
      <c r="S26" s="342"/>
      <c r="T26" s="342"/>
    </row>
    <row r="27" spans="2:20" x14ac:dyDescent="0.25">
      <c r="B27" s="4"/>
      <c r="C27" s="4"/>
      <c r="S27" s="342"/>
      <c r="T27" s="342"/>
    </row>
    <row r="28" spans="2:20" x14ac:dyDescent="0.25">
      <c r="S28" s="342"/>
      <c r="T28" s="342"/>
    </row>
    <row r="29" spans="2:20" x14ac:dyDescent="0.25">
      <c r="S29" s="342"/>
      <c r="T29" s="342"/>
    </row>
    <row r="30" spans="2:20" x14ac:dyDescent="0.25">
      <c r="S30" s="342"/>
      <c r="T30" s="342"/>
    </row>
    <row r="31" spans="2:20" x14ac:dyDescent="0.25">
      <c r="S31" s="342"/>
      <c r="T31" s="342"/>
    </row>
    <row r="32" spans="2:20" x14ac:dyDescent="0.25">
      <c r="S32" s="342"/>
      <c r="T32" s="342"/>
    </row>
    <row r="33" spans="4:20" x14ac:dyDescent="0.25">
      <c r="D33" s="341" t="s">
        <v>252</v>
      </c>
      <c r="E33" s="341"/>
      <c r="F33" s="341"/>
      <c r="G33" s="341"/>
      <c r="H33" s="341"/>
      <c r="I33" s="341"/>
      <c r="J33" s="341"/>
      <c r="K33" s="341"/>
      <c r="L33" s="341"/>
      <c r="M33" s="341"/>
      <c r="N33" s="341"/>
      <c r="O33" s="341"/>
      <c r="S33" s="342"/>
      <c r="T33" s="342"/>
    </row>
    <row r="34" spans="4:20" x14ac:dyDescent="0.25">
      <c r="S34" s="342"/>
      <c r="T34" s="342"/>
    </row>
    <row r="35" spans="4:20" ht="14.5" x14ac:dyDescent="0.35">
      <c r="D35" s="337" t="s">
        <v>47</v>
      </c>
      <c r="E35" s="338"/>
      <c r="F35" s="337" t="s">
        <v>48</v>
      </c>
      <c r="G35" s="338"/>
      <c r="I35" s="204" t="s">
        <v>36</v>
      </c>
      <c r="J35" s="204" t="s">
        <v>37</v>
      </c>
      <c r="K35" s="204" t="s">
        <v>38</v>
      </c>
      <c r="M35" s="339" t="s">
        <v>39</v>
      </c>
      <c r="N35" s="340"/>
      <c r="S35" s="342"/>
      <c r="T35" s="342"/>
    </row>
    <row r="36" spans="4:20" ht="19.5" x14ac:dyDescent="0.45">
      <c r="D36" s="197" t="s">
        <v>50</v>
      </c>
      <c r="E36" s="194">
        <v>0.09</v>
      </c>
      <c r="F36" s="195"/>
      <c r="G36" s="196"/>
      <c r="I36" s="198" t="s">
        <v>31</v>
      </c>
      <c r="J36" s="198">
        <v>15000</v>
      </c>
      <c r="K36" s="198">
        <v>4000</v>
      </c>
      <c r="M36" s="198" t="s">
        <v>40</v>
      </c>
      <c r="N36" s="271">
        <f>BACKROOM1!BM12</f>
        <v>41142.871748503712</v>
      </c>
      <c r="S36" s="342"/>
      <c r="T36" s="342"/>
    </row>
    <row r="37" spans="4:20" ht="19.5" x14ac:dyDescent="0.45">
      <c r="D37" s="199" t="s">
        <v>52</v>
      </c>
      <c r="E37" s="195">
        <v>12</v>
      </c>
      <c r="F37" s="195" t="s">
        <v>52</v>
      </c>
      <c r="G37" s="195">
        <v>12</v>
      </c>
      <c r="I37" s="198" t="s">
        <v>32</v>
      </c>
      <c r="J37" s="200">
        <f>G41</f>
        <v>7.5000000000000622E-3</v>
      </c>
      <c r="K37" s="200">
        <f>J37</f>
        <v>7.5000000000000622E-3</v>
      </c>
      <c r="M37" s="198" t="s">
        <v>41</v>
      </c>
      <c r="N37" s="271">
        <f>BACKROOM1!BK18</f>
        <v>42651411.858933948</v>
      </c>
      <c r="S37" s="342"/>
      <c r="T37" s="342"/>
    </row>
    <row r="38" spans="4:20" ht="19.5" x14ac:dyDescent="0.45">
      <c r="D38" s="197" t="s">
        <v>54</v>
      </c>
      <c r="E38" s="195" t="s">
        <v>55</v>
      </c>
      <c r="F38" s="195" t="s">
        <v>54</v>
      </c>
      <c r="G38" s="195" t="s">
        <v>56</v>
      </c>
      <c r="I38" s="198" t="s">
        <v>33</v>
      </c>
      <c r="J38" s="201">
        <v>0.06</v>
      </c>
      <c r="K38" s="201">
        <f>J38</f>
        <v>0.06</v>
      </c>
      <c r="M38" s="198" t="s">
        <v>42</v>
      </c>
      <c r="N38" s="271">
        <f>BACKROOM1!BK19</f>
        <v>7097742.7820272818</v>
      </c>
      <c r="S38" s="342"/>
      <c r="T38" s="342"/>
    </row>
    <row r="39" spans="4:20" ht="19.5" x14ac:dyDescent="0.45">
      <c r="D39" s="199" t="s">
        <v>57</v>
      </c>
      <c r="E39" s="195">
        <v>1</v>
      </c>
      <c r="F39" s="195" t="s">
        <v>57</v>
      </c>
      <c r="G39" s="195">
        <v>1</v>
      </c>
      <c r="I39" s="198" t="s">
        <v>34</v>
      </c>
      <c r="J39" s="198">
        <v>12</v>
      </c>
      <c r="K39" s="198">
        <v>12</v>
      </c>
      <c r="M39" s="198" t="s">
        <v>43</v>
      </c>
      <c r="N39" s="272">
        <f>BACKROOM1!BM5</f>
        <v>541648.5306610784</v>
      </c>
      <c r="S39" s="342"/>
      <c r="T39" s="342"/>
    </row>
    <row r="40" spans="4:20" ht="19.5" x14ac:dyDescent="0.45">
      <c r="D40" s="197"/>
      <c r="E40" s="195"/>
      <c r="F40" s="195"/>
      <c r="G40" s="195"/>
      <c r="I40" s="198" t="s">
        <v>35</v>
      </c>
      <c r="J40" s="198">
        <v>40</v>
      </c>
      <c r="K40" s="198">
        <v>40</v>
      </c>
      <c r="M40" s="198" t="s">
        <v>22</v>
      </c>
      <c r="N40" s="271">
        <f>BACKROOM1!BK20</f>
        <v>686.19948562516265</v>
      </c>
    </row>
    <row r="41" spans="4:20" ht="19.5" x14ac:dyDescent="0.45">
      <c r="D41" s="199"/>
      <c r="E41" s="202"/>
      <c r="F41" s="202" t="s">
        <v>64</v>
      </c>
      <c r="G41" s="203">
        <f>IF(AND(E38=BACKROOM1!BK34,G38=BACKROOM1!BL33),BACKROOM1!BL34,IF(AND(E38=BACKROOM1!BK34,G38=BACKROOM1!BM33),BACKROOM1!BM34,IF(AND(E38=BACKROOM1!BK34,G38=BACKROOM1!BN33),BACKROOM1!BN34,IF(AND(E38=BACKROOM1!BK34,G38=BACKROOM1!BO33),BACKROOM1!BO34,IF(AND(E38=BACKROOM1!BK35,G38=BACKROOM1!BL33),BACKROOM1!BL35,IF(AND(E38=BACKROOM1!BK35,G38=BACKROOM1!BM33),BACKROOM1!BM35,IF(AND(E38=BACKROOM1!BK35,G38=BACKROOM1!BN33),BACKROOM1!BN35,IF(AND(E38=BACKROOM1!BK35,G38=BACKROOM1!BO33),BACKROOM1!BO35,IF(AND(E38=BACKROOM1!BK36,G38=BACKROOM1!BL33),BACKROOM1!BL36,IF(AND(E38=BACKROOM1!BK36,G38=BACKROOM1!BM33),BACKROOM1!BM36,IF(AND(E38=BACKROOM1!BK36,G38=BACKROOM1!BN33),BACKROOM1!BN36,IF(AND(E38=BACKROOM1!BK36,G38=BACKROOM1!BO33),BACKROOM1!BO36,IF(AND(E38=BACKROOM1!BK37,G38=BACKROOM1!BL33),BACKROOM1!BL37,IF(AND(E38=BACKROOM1!BK37,G38=BACKROOM1!BM33),BACKROOM1!BM37,IF(AND(E38=BACKROOM1!BK37,G38=BACKROOM1!BN33),BACKROOM1!BN37,IF(AND(E38=BACKROOM1!BK37,G38=BACKROOM1!BO33),BACKROOM1!BO37,IF(AND(E38=BACKROOM1!BK38,G38=BACKROOM1!BL33),BACKROOM1!BL38,IF(AND(E38=BACKROOM1!BK38,G38=BACKROOM1!BM33),BACKROOM1!BM38,IF(AND(E38=BACKROOM1!BK38,G38=BACKROOM1!BN33),BACKROOM1!BN38,IF(AND(E38=BACKROOM1!BK38,G38=BACKROOM1!BO33),BACKROOM1!BO38,IF(AND(E38=BACKROOM1!BK34,G38=BACKROOM1!BP33),BACKROOM1!BP34,IF(AND(E38=BACKROOM1!BK35,G38=BACKROOM1!BP33),BACKROOM1!BP35,IF(AND(E38=BACKROOM1!BK36,G38=BACKROOM1!BP33),BACKROOM1!BP36,IF(AND(E38=BACKROOM1!BK37,G38=BACKROOM1!BP33),BACKROOM1!BP37,"ERROR"))))))))))))))))))))))))</f>
        <v>7.5000000000000622E-3</v>
      </c>
      <c r="I41" s="198" t="s">
        <v>27</v>
      </c>
      <c r="J41" s="198">
        <v>12</v>
      </c>
      <c r="K41" s="198">
        <v>12</v>
      </c>
    </row>
    <row r="42" spans="4:20" x14ac:dyDescent="0.25">
      <c r="I42" s="198" t="s">
        <v>26</v>
      </c>
      <c r="J42" s="198">
        <v>40</v>
      </c>
      <c r="K42" s="198">
        <v>20</v>
      </c>
    </row>
  </sheetData>
  <mergeCells count="57">
    <mergeCell ref="G23:I23"/>
    <mergeCell ref="G24:I24"/>
    <mergeCell ref="G25:I25"/>
    <mergeCell ref="G26:I26"/>
    <mergeCell ref="E23:F23"/>
    <mergeCell ref="E24:F24"/>
    <mergeCell ref="E25:F25"/>
    <mergeCell ref="E26:F26"/>
    <mergeCell ref="K23:L23"/>
    <mergeCell ref="K24:L24"/>
    <mergeCell ref="K25:L25"/>
    <mergeCell ref="K26:L26"/>
    <mergeCell ref="M23:O23"/>
    <mergeCell ref="M24:O24"/>
    <mergeCell ref="M25:O25"/>
    <mergeCell ref="M26:O26"/>
    <mergeCell ref="D22:F22"/>
    <mergeCell ref="G22:I22"/>
    <mergeCell ref="S8:T8"/>
    <mergeCell ref="S9:T9"/>
    <mergeCell ref="S10:T10"/>
    <mergeCell ref="S11:T11"/>
    <mergeCell ref="S12:T12"/>
    <mergeCell ref="S13:T13"/>
    <mergeCell ref="S14:T14"/>
    <mergeCell ref="S15:T15"/>
    <mergeCell ref="S16:T16"/>
    <mergeCell ref="S17:T17"/>
    <mergeCell ref="D21:I21"/>
    <mergeCell ref="J22:L22"/>
    <mergeCell ref="M22:O22"/>
    <mergeCell ref="J21:O21"/>
    <mergeCell ref="S25:T25"/>
    <mergeCell ref="S26:T26"/>
    <mergeCell ref="S27:T27"/>
    <mergeCell ref="S28:T28"/>
    <mergeCell ref="S18:T18"/>
    <mergeCell ref="S19:T19"/>
    <mergeCell ref="S20:T20"/>
    <mergeCell ref="S21:T21"/>
    <mergeCell ref="S22:T22"/>
    <mergeCell ref="S23:T23"/>
    <mergeCell ref="S39:T39"/>
    <mergeCell ref="S34:T34"/>
    <mergeCell ref="S35:T35"/>
    <mergeCell ref="S36:T36"/>
    <mergeCell ref="S37:T37"/>
    <mergeCell ref="S38:T38"/>
    <mergeCell ref="D35:E35"/>
    <mergeCell ref="F35:G35"/>
    <mergeCell ref="M35:N35"/>
    <mergeCell ref="D33:O33"/>
    <mergeCell ref="S29:T29"/>
    <mergeCell ref="S30:T30"/>
    <mergeCell ref="S31:T31"/>
    <mergeCell ref="S32:T32"/>
    <mergeCell ref="S33:T33"/>
  </mergeCells>
  <dataValidations count="2">
    <dataValidation type="list" allowBlank="1" showInputMessage="1" showErrorMessage="1" sqref="B26:C26 B15:C15 B17:C17" xr:uid="{54C89AEF-30F5-49D7-967D-950D589A96C6}">
      <formula1>$E$13:$E$18</formula1>
    </dataValidation>
    <dataValidation type="list" allowBlank="1" showInputMessage="1" showErrorMessage="1" sqref="B23:C24" xr:uid="{42841DE7-20EC-4FF1-945E-520E41013E0E}">
      <formula1>$E$13:$E$19</formula1>
    </dataValidation>
  </dataValidations>
  <pageMargins left="0.7" right="0.7" top="0.75" bottom="0.75" header="0.3" footer="0.3"/>
  <pageSetup orientation="portrait" r:id="rId1"/>
  <picture r:id="rId2"/>
  <extLst>
    <ext xmlns:x14="http://schemas.microsoft.com/office/spreadsheetml/2009/9/main" uri="{CCE6A557-97BC-4b89-ADB6-D9C93CAAB3DF}">
      <x14:dataValidations xmlns:xm="http://schemas.microsoft.com/office/excel/2006/main" count="2">
        <x14:dataValidation type="list" allowBlank="1" showInputMessage="1" showErrorMessage="1" xr:uid="{526C06C7-91A2-496A-AB03-483CB412AF50}">
          <x14:formula1>
            <xm:f>BACKROOM1!$BK$34:$BK$38</xm:f>
          </x14:formula1>
          <xm:sqref>E38</xm:sqref>
        </x14:dataValidation>
        <x14:dataValidation type="list" allowBlank="1" showInputMessage="1" showErrorMessage="1" xr:uid="{16F9E626-EEE3-42C6-9879-1A60E80B7187}">
          <x14:formula1>
            <xm:f>BACKROOM1!$BL$33:$BP$33</xm:f>
          </x14:formula1>
          <xm:sqref>G38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70A82-E164-4559-B660-8DC8C80FF6FA}">
  <sheetPr>
    <tabColor rgb="FF7030A0"/>
  </sheetPr>
  <dimension ref="G1:R51"/>
  <sheetViews>
    <sheetView tabSelected="1" topLeftCell="E1" zoomScaleNormal="100" workbookViewId="0">
      <selection activeCell="I26" sqref="I26"/>
    </sheetView>
  </sheetViews>
  <sheetFormatPr defaultRowHeight="14.5" x14ac:dyDescent="0.35"/>
  <cols>
    <col min="1" max="1" width="32.453125" bestFit="1" customWidth="1"/>
    <col min="2" max="2" width="34.1796875" bestFit="1" customWidth="1"/>
    <col min="3" max="3" width="23.26953125" bestFit="1" customWidth="1"/>
    <col min="4" max="4" width="10.54296875" bestFit="1" customWidth="1"/>
    <col min="5" max="6" width="11.08984375" bestFit="1" customWidth="1"/>
    <col min="7" max="7" width="16.08984375" bestFit="1" customWidth="1"/>
    <col min="8" max="8" width="13.1796875" bestFit="1" customWidth="1"/>
    <col min="9" max="9" width="13.54296875" bestFit="1" customWidth="1"/>
    <col min="12" max="12" width="12.08984375" bestFit="1" customWidth="1"/>
    <col min="15" max="15" width="15.26953125" customWidth="1"/>
    <col min="16" max="16" width="36.08984375" bestFit="1" customWidth="1"/>
    <col min="17" max="17" width="26.54296875" customWidth="1"/>
    <col min="18" max="18" width="16.7265625" customWidth="1"/>
  </cols>
  <sheetData>
    <row r="1" spans="7:18" x14ac:dyDescent="0.35">
      <c r="O1" s="24" t="s">
        <v>68</v>
      </c>
      <c r="P1" s="24" t="s">
        <v>67</v>
      </c>
      <c r="Q1" s="24" t="s">
        <v>138</v>
      </c>
      <c r="R1" s="24" t="s">
        <v>140</v>
      </c>
    </row>
    <row r="2" spans="7:18" ht="15" thickBot="1" x14ac:dyDescent="0.4">
      <c r="O2" t="s">
        <v>116</v>
      </c>
      <c r="P2" t="s">
        <v>104</v>
      </c>
      <c r="Q2" t="s">
        <v>102</v>
      </c>
      <c r="R2" s="16">
        <v>20</v>
      </c>
    </row>
    <row r="3" spans="7:18" ht="15" thickBot="1" x14ac:dyDescent="0.4">
      <c r="G3" s="359" t="s">
        <v>156</v>
      </c>
      <c r="H3" s="360"/>
      <c r="I3" s="361"/>
      <c r="O3" t="s">
        <v>116</v>
      </c>
      <c r="P3" t="s">
        <v>105</v>
      </c>
      <c r="Q3" t="s">
        <v>102</v>
      </c>
      <c r="R3" s="16">
        <v>25</v>
      </c>
    </row>
    <row r="4" spans="7:18" ht="15" thickBot="1" x14ac:dyDescent="0.4">
      <c r="G4" s="34" t="s">
        <v>139</v>
      </c>
      <c r="H4" s="35" t="s">
        <v>117</v>
      </c>
      <c r="I4" s="36" t="s">
        <v>118</v>
      </c>
      <c r="O4" t="s">
        <v>116</v>
      </c>
      <c r="P4" t="s">
        <v>106</v>
      </c>
      <c r="Q4" t="s">
        <v>102</v>
      </c>
      <c r="R4" s="16">
        <v>18</v>
      </c>
    </row>
    <row r="5" spans="7:18" x14ac:dyDescent="0.35">
      <c r="G5" s="30" t="s">
        <v>100</v>
      </c>
      <c r="H5" t="s">
        <v>92</v>
      </c>
      <c r="I5" s="33">
        <v>29</v>
      </c>
      <c r="O5" t="s">
        <v>116</v>
      </c>
      <c r="P5" t="s">
        <v>121</v>
      </c>
      <c r="Q5" t="s">
        <v>102</v>
      </c>
      <c r="R5" s="16">
        <v>22</v>
      </c>
    </row>
    <row r="6" spans="7:18" ht="15" thickBot="1" x14ac:dyDescent="0.4">
      <c r="G6" s="30"/>
      <c r="I6" s="31"/>
      <c r="O6" t="s">
        <v>116</v>
      </c>
      <c r="P6" t="s">
        <v>122</v>
      </c>
      <c r="Q6" t="s">
        <v>102</v>
      </c>
      <c r="R6" s="17">
        <v>19</v>
      </c>
    </row>
    <row r="7" spans="7:18" x14ac:dyDescent="0.35">
      <c r="G7" s="365" t="s">
        <v>157</v>
      </c>
      <c r="H7" s="370"/>
      <c r="I7" s="25">
        <v>10</v>
      </c>
      <c r="O7" t="s">
        <v>116</v>
      </c>
      <c r="P7" t="s">
        <v>123</v>
      </c>
      <c r="Q7" t="s">
        <v>102</v>
      </c>
      <c r="R7" s="17">
        <v>14</v>
      </c>
    </row>
    <row r="8" spans="7:18" x14ac:dyDescent="0.35">
      <c r="G8" s="365" t="s">
        <v>141</v>
      </c>
      <c r="H8" s="370"/>
      <c r="I8" s="26">
        <f>I7*I5</f>
        <v>290</v>
      </c>
      <c r="O8" t="s">
        <v>116</v>
      </c>
      <c r="P8" t="s">
        <v>124</v>
      </c>
      <c r="Q8" t="s">
        <v>102</v>
      </c>
      <c r="R8" s="17">
        <v>16</v>
      </c>
    </row>
    <row r="9" spans="7:18" ht="15" thickBot="1" x14ac:dyDescent="0.4">
      <c r="G9" s="367" t="s">
        <v>142</v>
      </c>
      <c r="H9" s="369"/>
      <c r="I9" s="37">
        <f>I8*BACKROOM2_TEB!B23</f>
        <v>5218.6660000000002</v>
      </c>
      <c r="O9" t="s">
        <v>116</v>
      </c>
      <c r="P9" t="s">
        <v>107</v>
      </c>
      <c r="Q9" t="s">
        <v>102</v>
      </c>
      <c r="R9" s="17">
        <v>17</v>
      </c>
    </row>
    <row r="10" spans="7:18" x14ac:dyDescent="0.35">
      <c r="O10" t="s">
        <v>116</v>
      </c>
      <c r="P10" t="s">
        <v>125</v>
      </c>
      <c r="Q10" t="s">
        <v>102</v>
      </c>
      <c r="R10" s="17">
        <v>18</v>
      </c>
    </row>
    <row r="11" spans="7:18" x14ac:dyDescent="0.35">
      <c r="O11" t="s">
        <v>116</v>
      </c>
      <c r="P11" t="s">
        <v>108</v>
      </c>
      <c r="Q11" t="s">
        <v>102</v>
      </c>
      <c r="R11" s="17">
        <v>19</v>
      </c>
    </row>
    <row r="12" spans="7:18" ht="15" thickBot="1" x14ac:dyDescent="0.4">
      <c r="O12" t="s">
        <v>116</v>
      </c>
      <c r="P12" t="s">
        <v>126</v>
      </c>
      <c r="Q12" t="s">
        <v>102</v>
      </c>
      <c r="R12" s="17">
        <v>20</v>
      </c>
    </row>
    <row r="13" spans="7:18" ht="15" thickBot="1" x14ac:dyDescent="0.4">
      <c r="G13" s="359" t="s">
        <v>153</v>
      </c>
      <c r="H13" s="360"/>
      <c r="I13" s="361"/>
      <c r="O13" t="s">
        <v>83</v>
      </c>
      <c r="P13" t="s">
        <v>80</v>
      </c>
      <c r="Q13" t="s">
        <v>103</v>
      </c>
      <c r="R13" s="17">
        <v>24</v>
      </c>
    </row>
    <row r="14" spans="7:18" ht="15" thickBot="1" x14ac:dyDescent="0.4">
      <c r="G14" s="24" t="s">
        <v>119</v>
      </c>
      <c r="H14" s="24" t="s">
        <v>117</v>
      </c>
      <c r="I14" s="24" t="s">
        <v>118</v>
      </c>
      <c r="O14" t="s">
        <v>83</v>
      </c>
      <c r="P14" t="s">
        <v>127</v>
      </c>
      <c r="Q14" t="s">
        <v>103</v>
      </c>
      <c r="R14" s="17">
        <v>31</v>
      </c>
    </row>
    <row r="15" spans="7:18" x14ac:dyDescent="0.35">
      <c r="G15" s="27" t="s">
        <v>97</v>
      </c>
      <c r="H15" s="28" t="s">
        <v>92</v>
      </c>
      <c r="I15" s="29">
        <v>29</v>
      </c>
      <c r="O15" t="s">
        <v>71</v>
      </c>
      <c r="P15" t="s">
        <v>69</v>
      </c>
      <c r="Q15" t="s">
        <v>72</v>
      </c>
      <c r="R15" s="17">
        <v>12</v>
      </c>
    </row>
    <row r="16" spans="7:18" ht="15" thickBot="1" x14ac:dyDescent="0.4">
      <c r="G16" s="30"/>
      <c r="I16" s="31"/>
      <c r="O16" t="s">
        <v>71</v>
      </c>
      <c r="P16" t="s">
        <v>73</v>
      </c>
      <c r="Q16" t="s">
        <v>72</v>
      </c>
      <c r="R16" s="17">
        <v>19</v>
      </c>
    </row>
    <row r="17" spans="7:18" x14ac:dyDescent="0.35">
      <c r="G17" s="365" t="s">
        <v>154</v>
      </c>
      <c r="H17" s="370"/>
      <c r="I17" s="25">
        <v>6</v>
      </c>
      <c r="O17" t="s">
        <v>71</v>
      </c>
      <c r="P17" t="s">
        <v>75</v>
      </c>
      <c r="Q17" t="s">
        <v>72</v>
      </c>
      <c r="R17" s="17">
        <v>34</v>
      </c>
    </row>
    <row r="18" spans="7:18" x14ac:dyDescent="0.35">
      <c r="G18" s="365" t="s">
        <v>141</v>
      </c>
      <c r="H18" s="370"/>
      <c r="I18" s="26">
        <f>I17*I15</f>
        <v>174</v>
      </c>
      <c r="O18" t="s">
        <v>71</v>
      </c>
      <c r="P18" t="s">
        <v>76</v>
      </c>
      <c r="Q18" t="s">
        <v>72</v>
      </c>
      <c r="R18" s="17">
        <v>29</v>
      </c>
    </row>
    <row r="19" spans="7:18" ht="15" thickBot="1" x14ac:dyDescent="0.4">
      <c r="G19" s="367" t="s">
        <v>155</v>
      </c>
      <c r="H19" s="369"/>
      <c r="I19" s="37">
        <f>I18*BACKROOM2_TEB!B23</f>
        <v>3131.1995999999999</v>
      </c>
      <c r="O19" t="s">
        <v>71</v>
      </c>
      <c r="P19" t="s">
        <v>77</v>
      </c>
      <c r="Q19" t="s">
        <v>72</v>
      </c>
      <c r="R19" s="17">
        <v>32</v>
      </c>
    </row>
    <row r="20" spans="7:18" x14ac:dyDescent="0.35">
      <c r="O20" t="s">
        <v>71</v>
      </c>
      <c r="P20" t="s">
        <v>74</v>
      </c>
      <c r="Q20" t="s">
        <v>72</v>
      </c>
      <c r="R20" s="17">
        <v>34</v>
      </c>
    </row>
    <row r="21" spans="7:18" x14ac:dyDescent="0.35">
      <c r="O21" t="s">
        <v>71</v>
      </c>
      <c r="P21" t="s">
        <v>79</v>
      </c>
      <c r="Q21" t="s">
        <v>72</v>
      </c>
      <c r="R21" s="17">
        <v>34</v>
      </c>
    </row>
    <row r="22" spans="7:18" ht="15" thickBot="1" x14ac:dyDescent="0.4">
      <c r="O22" t="s">
        <v>71</v>
      </c>
      <c r="P22" t="s">
        <v>78</v>
      </c>
      <c r="Q22" t="s">
        <v>72</v>
      </c>
      <c r="R22" s="17">
        <v>32</v>
      </c>
    </row>
    <row r="23" spans="7:18" ht="15" thickBot="1" x14ac:dyDescent="0.4">
      <c r="G23" s="362" t="s">
        <v>158</v>
      </c>
      <c r="H23" s="363"/>
      <c r="I23" s="364"/>
      <c r="O23" t="s">
        <v>71</v>
      </c>
      <c r="P23" t="s">
        <v>128</v>
      </c>
      <c r="Q23" t="s">
        <v>72</v>
      </c>
      <c r="R23" s="17">
        <v>21</v>
      </c>
    </row>
    <row r="24" spans="7:18" ht="15" thickBot="1" x14ac:dyDescent="0.4">
      <c r="G24" s="27"/>
      <c r="H24" s="28"/>
      <c r="I24" s="32"/>
      <c r="O24" t="s">
        <v>71</v>
      </c>
      <c r="P24" t="s">
        <v>81</v>
      </c>
      <c r="Q24" t="s">
        <v>72</v>
      </c>
      <c r="R24" s="17">
        <v>25</v>
      </c>
    </row>
    <row r="25" spans="7:18" x14ac:dyDescent="0.35">
      <c r="G25" s="365" t="s">
        <v>152</v>
      </c>
      <c r="H25" s="366"/>
      <c r="I25" s="25">
        <v>5</v>
      </c>
      <c r="O25" t="s">
        <v>71</v>
      </c>
      <c r="P25" t="s">
        <v>82</v>
      </c>
      <c r="Q25" t="s">
        <v>72</v>
      </c>
      <c r="R25" s="17">
        <v>26</v>
      </c>
    </row>
    <row r="26" spans="7:18" ht="15" thickBot="1" x14ac:dyDescent="0.4">
      <c r="G26" s="367" t="s">
        <v>8</v>
      </c>
      <c r="H26" s="368"/>
      <c r="I26" s="37">
        <f ca="1">IF(AND(G15=BACKROOM2_TEB!A28),TEB!I19*(1+BACKROOM2_TEB!C28)^(TEB!I25),IF(AND(G15=BACKROOM2_TEB!A29),TEB!I19*(1+BACKROOM2_TEB!C29)^(TEB!I25),IF(AND(G15=BACKROOM2_TEB!A30),TEB!I19*(1+BACKROOM2_TEB!C30)^(TEB!I25),IF(AND(TEB!G15=BACKROOM2_TEB!A31),TEB!I19*(1+BACKROOM2_TEB!C31)^(TEB!I25),IF(AND(TEB!G15=BACKROOM2_TEB!A32),TEB!I19*(1+BACKROOM2_TEB!C32)^(TEB!I25),IF(AND(TEB!G15=BACKROOM2_TEB!A33),TEB!I19*(1+BACKROOM2_TEB!C33)^(TEB!I25),IF(AND(TEB!G15=BACKROOM2_TEB!A34),TEB!I19*(1+BACKROOM2_TEB!C34)^(TEB!I25),IF(AND(TEB!G15=BACKROOM2_TEB!A35),TEB!I19*(1+BACKROOM2_TEB!C35)^(TEB!I25),""))))))))</f>
        <v>5527.9438138453315</v>
      </c>
      <c r="O26" t="s">
        <v>111</v>
      </c>
      <c r="P26" t="s">
        <v>70</v>
      </c>
      <c r="Q26" t="s">
        <v>110</v>
      </c>
      <c r="R26" s="17">
        <v>40</v>
      </c>
    </row>
    <row r="27" spans="7:18" x14ac:dyDescent="0.35">
      <c r="O27" t="s">
        <v>111</v>
      </c>
      <c r="P27" t="s">
        <v>109</v>
      </c>
      <c r="Q27" t="s">
        <v>110</v>
      </c>
      <c r="R27" s="17">
        <v>12</v>
      </c>
    </row>
    <row r="28" spans="7:18" x14ac:dyDescent="0.35">
      <c r="O28" t="s">
        <v>111</v>
      </c>
      <c r="P28" t="s">
        <v>112</v>
      </c>
      <c r="Q28" t="s">
        <v>110</v>
      </c>
      <c r="R28" s="17">
        <v>27</v>
      </c>
    </row>
    <row r="29" spans="7:18" x14ac:dyDescent="0.35">
      <c r="O29" t="s">
        <v>111</v>
      </c>
      <c r="P29" t="s">
        <v>113</v>
      </c>
      <c r="Q29" t="s">
        <v>110</v>
      </c>
      <c r="R29" s="17">
        <v>10</v>
      </c>
    </row>
    <row r="30" spans="7:18" x14ac:dyDescent="0.35">
      <c r="O30" t="s">
        <v>111</v>
      </c>
      <c r="P30" t="s">
        <v>114</v>
      </c>
      <c r="Q30" t="s">
        <v>110</v>
      </c>
      <c r="R30" s="17">
        <v>19</v>
      </c>
    </row>
    <row r="31" spans="7:18" x14ac:dyDescent="0.35">
      <c r="O31" t="s">
        <v>111</v>
      </c>
      <c r="P31" t="s">
        <v>115</v>
      </c>
      <c r="Q31" t="s">
        <v>110</v>
      </c>
      <c r="R31" s="17">
        <v>18</v>
      </c>
    </row>
    <row r="32" spans="7:18" x14ac:dyDescent="0.35">
      <c r="O32" t="s">
        <v>95</v>
      </c>
      <c r="P32" t="s">
        <v>84</v>
      </c>
      <c r="Q32" t="s">
        <v>99</v>
      </c>
      <c r="R32" s="17">
        <v>15</v>
      </c>
    </row>
    <row r="33" spans="7:18" x14ac:dyDescent="0.35">
      <c r="O33" t="s">
        <v>95</v>
      </c>
      <c r="P33" t="s">
        <v>85</v>
      </c>
      <c r="Q33" t="s">
        <v>99</v>
      </c>
      <c r="R33" s="17">
        <v>36</v>
      </c>
    </row>
    <row r="34" spans="7:18" x14ac:dyDescent="0.35">
      <c r="O34" t="s">
        <v>95</v>
      </c>
      <c r="P34" t="s">
        <v>86</v>
      </c>
      <c r="Q34" t="s">
        <v>99</v>
      </c>
      <c r="R34" s="17">
        <v>25</v>
      </c>
    </row>
    <row r="35" spans="7:18" x14ac:dyDescent="0.35">
      <c r="O35" t="s">
        <v>95</v>
      </c>
      <c r="P35" t="s">
        <v>87</v>
      </c>
      <c r="Q35" t="s">
        <v>99</v>
      </c>
      <c r="R35" s="17">
        <v>31</v>
      </c>
    </row>
    <row r="36" spans="7:18" x14ac:dyDescent="0.35">
      <c r="O36" t="s">
        <v>95</v>
      </c>
      <c r="P36" t="s">
        <v>88</v>
      </c>
      <c r="Q36" t="s">
        <v>99</v>
      </c>
      <c r="R36" s="17">
        <v>29</v>
      </c>
    </row>
    <row r="37" spans="7:18" x14ac:dyDescent="0.35">
      <c r="O37" t="s">
        <v>96</v>
      </c>
      <c r="P37" t="s">
        <v>89</v>
      </c>
      <c r="Q37" t="s">
        <v>120</v>
      </c>
      <c r="R37" s="17">
        <v>19</v>
      </c>
    </row>
    <row r="38" spans="7:18" x14ac:dyDescent="0.35">
      <c r="O38" t="s">
        <v>96</v>
      </c>
      <c r="P38" t="s">
        <v>129</v>
      </c>
      <c r="Q38" t="s">
        <v>120</v>
      </c>
      <c r="R38" s="17">
        <v>32</v>
      </c>
    </row>
    <row r="39" spans="7:18" x14ac:dyDescent="0.35">
      <c r="O39" t="s">
        <v>96</v>
      </c>
      <c r="P39" t="s">
        <v>130</v>
      </c>
      <c r="Q39" t="s">
        <v>120</v>
      </c>
      <c r="R39" s="17">
        <v>12</v>
      </c>
    </row>
    <row r="40" spans="7:18" x14ac:dyDescent="0.35">
      <c r="O40" t="s">
        <v>96</v>
      </c>
      <c r="P40" t="s">
        <v>90</v>
      </c>
      <c r="Q40" t="s">
        <v>120</v>
      </c>
      <c r="R40" s="17">
        <v>9</v>
      </c>
    </row>
    <row r="41" spans="7:18" x14ac:dyDescent="0.35">
      <c r="O41" t="s">
        <v>96</v>
      </c>
      <c r="P41" t="s">
        <v>91</v>
      </c>
      <c r="Q41" t="s">
        <v>120</v>
      </c>
      <c r="R41" s="17">
        <v>6</v>
      </c>
    </row>
    <row r="42" spans="7:18" x14ac:dyDescent="0.35">
      <c r="O42" t="s">
        <v>97</v>
      </c>
      <c r="P42" t="s">
        <v>131</v>
      </c>
      <c r="Q42" t="s">
        <v>100</v>
      </c>
      <c r="R42" s="17">
        <v>12</v>
      </c>
    </row>
    <row r="43" spans="7:18" x14ac:dyDescent="0.35">
      <c r="O43" t="s">
        <v>97</v>
      </c>
      <c r="P43" t="s">
        <v>132</v>
      </c>
      <c r="Q43" t="s">
        <v>100</v>
      </c>
      <c r="R43" s="17">
        <v>22</v>
      </c>
    </row>
    <row r="44" spans="7:18" x14ac:dyDescent="0.35">
      <c r="O44" t="s">
        <v>97</v>
      </c>
      <c r="P44" t="s">
        <v>92</v>
      </c>
      <c r="Q44" t="s">
        <v>100</v>
      </c>
      <c r="R44" s="17">
        <v>29</v>
      </c>
    </row>
    <row r="45" spans="7:18" x14ac:dyDescent="0.35">
      <c r="G45" s="22"/>
      <c r="O45" t="s">
        <v>97</v>
      </c>
      <c r="P45" t="s">
        <v>133</v>
      </c>
      <c r="Q45" t="s">
        <v>100</v>
      </c>
      <c r="R45" s="17">
        <v>35</v>
      </c>
    </row>
    <row r="46" spans="7:18" x14ac:dyDescent="0.35">
      <c r="O46" t="s">
        <v>97</v>
      </c>
      <c r="P46" t="s">
        <v>134</v>
      </c>
      <c r="Q46" t="s">
        <v>100</v>
      </c>
      <c r="R46" s="17">
        <v>23</v>
      </c>
    </row>
    <row r="47" spans="7:18" x14ac:dyDescent="0.35">
      <c r="O47" t="s">
        <v>98</v>
      </c>
      <c r="P47" t="s">
        <v>135</v>
      </c>
      <c r="Q47" t="s">
        <v>101</v>
      </c>
      <c r="R47" s="17">
        <v>40</v>
      </c>
    </row>
    <row r="48" spans="7:18" x14ac:dyDescent="0.35">
      <c r="O48" t="s">
        <v>98</v>
      </c>
      <c r="P48" t="s">
        <v>136</v>
      </c>
      <c r="Q48" t="s">
        <v>101</v>
      </c>
      <c r="R48" s="17">
        <v>23</v>
      </c>
    </row>
    <row r="49" spans="15:18" x14ac:dyDescent="0.35">
      <c r="O49" t="s">
        <v>98</v>
      </c>
      <c r="P49" t="s">
        <v>93</v>
      </c>
      <c r="Q49" t="s">
        <v>101</v>
      </c>
      <c r="R49" s="17">
        <v>18</v>
      </c>
    </row>
    <row r="50" spans="15:18" x14ac:dyDescent="0.35">
      <c r="O50" t="s">
        <v>98</v>
      </c>
      <c r="P50" t="s">
        <v>94</v>
      </c>
      <c r="Q50" t="s">
        <v>101</v>
      </c>
      <c r="R50" s="17">
        <v>31</v>
      </c>
    </row>
    <row r="51" spans="15:18" x14ac:dyDescent="0.35">
      <c r="O51" t="s">
        <v>98</v>
      </c>
      <c r="P51" t="s">
        <v>137</v>
      </c>
      <c r="Q51" t="s">
        <v>101</v>
      </c>
      <c r="R51" s="17">
        <v>12</v>
      </c>
    </row>
  </sheetData>
  <mergeCells count="11">
    <mergeCell ref="G3:I3"/>
    <mergeCell ref="G23:I23"/>
    <mergeCell ref="G25:H25"/>
    <mergeCell ref="G26:H26"/>
    <mergeCell ref="G13:I13"/>
    <mergeCell ref="G9:H9"/>
    <mergeCell ref="G8:H8"/>
    <mergeCell ref="G7:H7"/>
    <mergeCell ref="G17:H17"/>
    <mergeCell ref="G18:H18"/>
    <mergeCell ref="G19:H19"/>
  </mergeCells>
  <phoneticPr fontId="11" type="noConversion"/>
  <dataValidations count="1">
    <dataValidation type="list" allowBlank="1" showInputMessage="1" showErrorMessage="1" sqref="H15:I15 H5:I5" xr:uid="{9C92907B-4369-4EC5-9A86-AEAEDD42DCAD}">
      <formula1>INDIRECT(G5)</formula1>
    </dataValidation>
  </dataValidations>
  <pageMargins left="0.7" right="0.7" top="0.75" bottom="0.75" header="0.3" footer="0.3"/>
  <drawing r:id="rId1"/>
  <picture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02FFAF88-B39D-463B-9D40-A28A56272160}">
          <x14:formula1>
            <xm:f>BACKROOM2_TEB!$A$1:$H$1</xm:f>
          </x14:formula1>
          <xm:sqref>G15</xm:sqref>
        </x14:dataValidation>
        <x14:dataValidation type="list" allowBlank="1" showInputMessage="1" showErrorMessage="1" xr:uid="{657A9F33-D1FE-40E0-93F9-14F9C7410CE3}">
          <x14:formula1>
            <xm:f>BACKROOM2_TEB!$K$1:$R$1</xm:f>
          </x14:formula1>
          <xm:sqref>G5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4F39F-DF8E-4CDA-88CB-1B1E9161C799}">
  <sheetPr>
    <tabColor rgb="FF7030A0"/>
  </sheetPr>
  <dimension ref="A1:AX35"/>
  <sheetViews>
    <sheetView topLeftCell="A15" zoomScale="92" workbookViewId="0">
      <selection activeCell="B23" sqref="B23"/>
    </sheetView>
  </sheetViews>
  <sheetFormatPr defaultRowHeight="14.5" x14ac:dyDescent="0.35"/>
  <cols>
    <col min="1" max="1" width="16.1796875" customWidth="1"/>
    <col min="2" max="2" width="37.7265625" customWidth="1"/>
    <col min="3" max="3" width="27.90625" bestFit="1" customWidth="1"/>
    <col min="4" max="4" width="14.6328125" bestFit="1" customWidth="1"/>
    <col min="5" max="5" width="13.08984375" bestFit="1" customWidth="1"/>
    <col min="6" max="6" width="14.81640625" bestFit="1" customWidth="1"/>
    <col min="7" max="7" width="30.1796875" bestFit="1" customWidth="1"/>
    <col min="8" max="8" width="20.81640625" bestFit="1" customWidth="1"/>
    <col min="9" max="9" width="14.6328125" bestFit="1" customWidth="1"/>
    <col min="11" max="11" width="22.08984375" customWidth="1"/>
    <col min="12" max="13" width="16.1796875" bestFit="1" customWidth="1"/>
    <col min="14" max="14" width="8.81640625" bestFit="1" customWidth="1"/>
    <col min="15" max="15" width="12.6328125" bestFit="1" customWidth="1"/>
    <col min="17" max="17" width="37.6328125" bestFit="1" customWidth="1"/>
    <col min="18" max="18" width="26.26953125" bestFit="1" customWidth="1"/>
    <col min="34" max="34" width="8.36328125" bestFit="1" customWidth="1"/>
    <col min="35" max="35" width="10.453125" bestFit="1" customWidth="1"/>
    <col min="37" max="37" width="12.453125" bestFit="1" customWidth="1"/>
    <col min="38" max="38" width="11.6328125" bestFit="1" customWidth="1"/>
    <col min="41" max="41" width="11.7265625" bestFit="1" customWidth="1"/>
    <col min="42" max="42" width="14.453125" bestFit="1" customWidth="1"/>
    <col min="44" max="44" width="20.26953125" bestFit="1" customWidth="1"/>
    <col min="45" max="45" width="30.1796875" bestFit="1" customWidth="1"/>
    <col min="46" max="46" width="12.453125" bestFit="1" customWidth="1"/>
    <col min="49" max="49" width="14" bestFit="1" customWidth="1"/>
    <col min="50" max="50" width="20.81640625" bestFit="1" customWidth="1"/>
  </cols>
  <sheetData>
    <row r="1" spans="1:18" x14ac:dyDescent="0.35">
      <c r="A1" t="s">
        <v>116</v>
      </c>
      <c r="B1" t="s">
        <v>83</v>
      </c>
      <c r="C1" t="s">
        <v>71</v>
      </c>
      <c r="D1" t="s">
        <v>111</v>
      </c>
      <c r="E1" t="s">
        <v>95</v>
      </c>
      <c r="F1" t="s">
        <v>96</v>
      </c>
      <c r="G1" t="s">
        <v>97</v>
      </c>
      <c r="H1" t="s">
        <v>98</v>
      </c>
      <c r="K1" t="s">
        <v>102</v>
      </c>
      <c r="L1" t="s">
        <v>103</v>
      </c>
      <c r="M1" t="s">
        <v>72</v>
      </c>
      <c r="N1" t="s">
        <v>110</v>
      </c>
      <c r="O1" t="s">
        <v>99</v>
      </c>
      <c r="P1" t="s">
        <v>120</v>
      </c>
      <c r="Q1" t="s">
        <v>100</v>
      </c>
      <c r="R1" t="s">
        <v>101</v>
      </c>
    </row>
    <row r="2" spans="1:18" x14ac:dyDescent="0.35">
      <c r="A2" t="s">
        <v>104</v>
      </c>
      <c r="B2" t="s">
        <v>80</v>
      </c>
      <c r="C2" t="s">
        <v>69</v>
      </c>
      <c r="D2" t="s">
        <v>70</v>
      </c>
      <c r="E2" t="s">
        <v>84</v>
      </c>
      <c r="F2" t="s">
        <v>89</v>
      </c>
      <c r="G2" t="s">
        <v>131</v>
      </c>
      <c r="H2" t="s">
        <v>135</v>
      </c>
      <c r="K2" s="10" t="s">
        <v>104</v>
      </c>
      <c r="L2" s="14" t="s">
        <v>80</v>
      </c>
      <c r="M2" s="14" t="s">
        <v>69</v>
      </c>
      <c r="N2" s="14" t="s">
        <v>70</v>
      </c>
      <c r="O2" s="14" t="s">
        <v>84</v>
      </c>
      <c r="P2" s="14" t="s">
        <v>89</v>
      </c>
      <c r="Q2" s="14" t="s">
        <v>131</v>
      </c>
      <c r="R2" s="11" t="s">
        <v>135</v>
      </c>
    </row>
    <row r="3" spans="1:18" x14ac:dyDescent="0.35">
      <c r="A3" t="s">
        <v>105</v>
      </c>
      <c r="B3" t="s">
        <v>127</v>
      </c>
      <c r="C3" t="s">
        <v>73</v>
      </c>
      <c r="D3" t="s">
        <v>109</v>
      </c>
      <c r="E3" t="s">
        <v>85</v>
      </c>
      <c r="F3" t="s">
        <v>129</v>
      </c>
      <c r="G3" t="s">
        <v>132</v>
      </c>
      <c r="H3" t="s">
        <v>136</v>
      </c>
      <c r="K3" s="12" t="s">
        <v>105</v>
      </c>
      <c r="L3" s="15" t="s">
        <v>127</v>
      </c>
      <c r="M3" s="14" t="s">
        <v>73</v>
      </c>
      <c r="N3" s="15" t="s">
        <v>109</v>
      </c>
      <c r="O3" s="15" t="s">
        <v>85</v>
      </c>
      <c r="P3" s="15" t="s">
        <v>129</v>
      </c>
      <c r="Q3" s="15" t="s">
        <v>132</v>
      </c>
      <c r="R3" s="13" t="s">
        <v>136</v>
      </c>
    </row>
    <row r="4" spans="1:18" x14ac:dyDescent="0.35">
      <c r="A4" t="s">
        <v>106</v>
      </c>
      <c r="C4" t="s">
        <v>75</v>
      </c>
      <c r="D4" t="s">
        <v>112</v>
      </c>
      <c r="E4" t="s">
        <v>86</v>
      </c>
      <c r="F4" t="s">
        <v>130</v>
      </c>
      <c r="G4" t="s">
        <v>92</v>
      </c>
      <c r="H4" t="s">
        <v>93</v>
      </c>
      <c r="K4" s="10" t="s">
        <v>106</v>
      </c>
      <c r="M4" s="14" t="s">
        <v>75</v>
      </c>
      <c r="N4" s="14" t="s">
        <v>112</v>
      </c>
      <c r="O4" s="14" t="s">
        <v>86</v>
      </c>
      <c r="P4" s="14" t="s">
        <v>130</v>
      </c>
      <c r="Q4" s="14" t="s">
        <v>92</v>
      </c>
      <c r="R4" s="11" t="s">
        <v>93</v>
      </c>
    </row>
    <row r="5" spans="1:18" x14ac:dyDescent="0.35">
      <c r="A5" t="s">
        <v>121</v>
      </c>
      <c r="C5" t="s">
        <v>76</v>
      </c>
      <c r="D5" t="s">
        <v>113</v>
      </c>
      <c r="E5" t="s">
        <v>87</v>
      </c>
      <c r="F5" t="s">
        <v>90</v>
      </c>
      <c r="G5" t="s">
        <v>133</v>
      </c>
      <c r="H5" t="s">
        <v>94</v>
      </c>
      <c r="K5" s="12" t="s">
        <v>121</v>
      </c>
      <c r="M5" s="15" t="s">
        <v>76</v>
      </c>
      <c r="N5" s="15" t="s">
        <v>113</v>
      </c>
      <c r="O5" s="15" t="s">
        <v>87</v>
      </c>
      <c r="P5" s="15" t="s">
        <v>90</v>
      </c>
      <c r="Q5" s="15" t="s">
        <v>133</v>
      </c>
      <c r="R5" s="13" t="s">
        <v>94</v>
      </c>
    </row>
    <row r="6" spans="1:18" x14ac:dyDescent="0.35">
      <c r="A6" t="s">
        <v>122</v>
      </c>
      <c r="C6" t="s">
        <v>77</v>
      </c>
      <c r="D6" t="s">
        <v>114</v>
      </c>
      <c r="E6" t="s">
        <v>88</v>
      </c>
      <c r="F6" t="s">
        <v>91</v>
      </c>
      <c r="G6" t="s">
        <v>134</v>
      </c>
      <c r="H6" t="s">
        <v>137</v>
      </c>
      <c r="K6" s="10" t="s">
        <v>122</v>
      </c>
      <c r="M6" s="14" t="s">
        <v>77</v>
      </c>
      <c r="N6" s="14" t="s">
        <v>114</v>
      </c>
      <c r="O6" s="14" t="s">
        <v>88</v>
      </c>
      <c r="P6" s="14" t="s">
        <v>91</v>
      </c>
      <c r="Q6" s="14" t="s">
        <v>134</v>
      </c>
      <c r="R6" s="11" t="s">
        <v>137</v>
      </c>
    </row>
    <row r="7" spans="1:18" x14ac:dyDescent="0.35">
      <c r="A7" t="s">
        <v>123</v>
      </c>
      <c r="C7" t="s">
        <v>74</v>
      </c>
      <c r="D7" t="s">
        <v>115</v>
      </c>
      <c r="K7" s="12" t="s">
        <v>123</v>
      </c>
      <c r="M7" s="15" t="s">
        <v>74</v>
      </c>
      <c r="N7" s="15" t="s">
        <v>115</v>
      </c>
    </row>
    <row r="8" spans="1:18" x14ac:dyDescent="0.35">
      <c r="A8" t="s">
        <v>124</v>
      </c>
      <c r="C8" t="s">
        <v>79</v>
      </c>
      <c r="K8" s="10" t="s">
        <v>124</v>
      </c>
      <c r="M8" s="14" t="s">
        <v>79</v>
      </c>
    </row>
    <row r="9" spans="1:18" x14ac:dyDescent="0.35">
      <c r="A9" t="s">
        <v>107</v>
      </c>
      <c r="C9" t="s">
        <v>78</v>
      </c>
      <c r="K9" s="12" t="s">
        <v>107</v>
      </c>
      <c r="M9" s="15" t="s">
        <v>78</v>
      </c>
    </row>
    <row r="10" spans="1:18" x14ac:dyDescent="0.35">
      <c r="A10" t="s">
        <v>125</v>
      </c>
      <c r="C10" t="s">
        <v>128</v>
      </c>
      <c r="K10" s="10" t="s">
        <v>125</v>
      </c>
      <c r="M10" s="14" t="s">
        <v>128</v>
      </c>
    </row>
    <row r="11" spans="1:18" x14ac:dyDescent="0.35">
      <c r="A11" t="s">
        <v>108</v>
      </c>
      <c r="C11" t="s">
        <v>81</v>
      </c>
      <c r="K11" s="12" t="s">
        <v>108</v>
      </c>
      <c r="M11" s="15" t="s">
        <v>81</v>
      </c>
    </row>
    <row r="12" spans="1:18" x14ac:dyDescent="0.35">
      <c r="A12" t="s">
        <v>126</v>
      </c>
      <c r="C12" t="s">
        <v>82</v>
      </c>
      <c r="K12" s="10" t="s">
        <v>126</v>
      </c>
      <c r="M12" s="14" t="s">
        <v>82</v>
      </c>
    </row>
    <row r="18" spans="1:50" x14ac:dyDescent="0.35">
      <c r="A18" s="19" t="s">
        <v>104</v>
      </c>
      <c r="B18" s="19" t="s">
        <v>105</v>
      </c>
      <c r="C18" s="19" t="s">
        <v>106</v>
      </c>
      <c r="D18" s="19" t="s">
        <v>121</v>
      </c>
      <c r="E18" s="19" t="s">
        <v>122</v>
      </c>
      <c r="F18" s="19" t="s">
        <v>123</v>
      </c>
      <c r="G18" s="19" t="s">
        <v>124</v>
      </c>
      <c r="H18" s="19" t="s">
        <v>107</v>
      </c>
      <c r="I18" s="19" t="s">
        <v>125</v>
      </c>
      <c r="J18" s="19" t="s">
        <v>108</v>
      </c>
      <c r="K18" s="19" t="s">
        <v>126</v>
      </c>
      <c r="L18" s="19" t="s">
        <v>80</v>
      </c>
      <c r="M18" s="19" t="s">
        <v>127</v>
      </c>
      <c r="N18" s="19" t="s">
        <v>69</v>
      </c>
      <c r="O18" s="19" t="s">
        <v>73</v>
      </c>
      <c r="P18" s="19" t="s">
        <v>75</v>
      </c>
      <c r="Q18" s="19" t="s">
        <v>76</v>
      </c>
      <c r="R18" s="19" t="s">
        <v>77</v>
      </c>
      <c r="S18" s="19" t="s">
        <v>74</v>
      </c>
      <c r="T18" s="19" t="s">
        <v>79</v>
      </c>
      <c r="U18" s="19" t="s">
        <v>78</v>
      </c>
      <c r="V18" s="19" t="s">
        <v>128</v>
      </c>
      <c r="W18" s="19" t="s">
        <v>81</v>
      </c>
      <c r="X18" s="19" t="s">
        <v>82</v>
      </c>
      <c r="Y18" s="19" t="s">
        <v>70</v>
      </c>
      <c r="Z18" s="19" t="s">
        <v>109</v>
      </c>
      <c r="AA18" s="19" t="s">
        <v>112</v>
      </c>
      <c r="AB18" s="19" t="s">
        <v>113</v>
      </c>
      <c r="AC18" s="19" t="s">
        <v>114</v>
      </c>
      <c r="AD18" s="19" t="s">
        <v>115</v>
      </c>
      <c r="AE18" s="19" t="s">
        <v>84</v>
      </c>
      <c r="AF18" s="19" t="s">
        <v>85</v>
      </c>
      <c r="AG18" s="19" t="s">
        <v>86</v>
      </c>
      <c r="AH18" s="19" t="s">
        <v>87</v>
      </c>
      <c r="AI18" s="19" t="s">
        <v>88</v>
      </c>
      <c r="AJ18" s="19" t="s">
        <v>89</v>
      </c>
      <c r="AK18" s="19" t="s">
        <v>129</v>
      </c>
      <c r="AL18" s="19" t="s">
        <v>130</v>
      </c>
      <c r="AM18" s="19" t="s">
        <v>90</v>
      </c>
      <c r="AN18" s="19" t="s">
        <v>91</v>
      </c>
      <c r="AO18" s="19" t="s">
        <v>131</v>
      </c>
      <c r="AP18" s="19" t="s">
        <v>132</v>
      </c>
      <c r="AQ18" s="19" t="s">
        <v>92</v>
      </c>
      <c r="AR18" s="19" t="s">
        <v>133</v>
      </c>
      <c r="AS18" s="19" t="s">
        <v>134</v>
      </c>
      <c r="AT18" s="19" t="s">
        <v>135</v>
      </c>
      <c r="AU18" s="19" t="s">
        <v>136</v>
      </c>
      <c r="AV18" s="19" t="s">
        <v>93</v>
      </c>
      <c r="AW18" s="19" t="s">
        <v>94</v>
      </c>
      <c r="AX18" s="19" t="s">
        <v>137</v>
      </c>
    </row>
    <row r="19" spans="1:50" x14ac:dyDescent="0.35">
      <c r="A19" s="20">
        <v>20</v>
      </c>
      <c r="B19" s="20">
        <v>25</v>
      </c>
      <c r="C19" s="20">
        <v>18</v>
      </c>
      <c r="D19" s="20">
        <v>22</v>
      </c>
      <c r="E19" s="21">
        <v>19</v>
      </c>
      <c r="F19" s="21">
        <v>14</v>
      </c>
      <c r="G19" s="21">
        <v>16</v>
      </c>
      <c r="H19" s="21">
        <v>17</v>
      </c>
      <c r="I19" s="21">
        <v>18</v>
      </c>
      <c r="J19" s="21">
        <v>19</v>
      </c>
      <c r="K19" s="21">
        <v>20</v>
      </c>
      <c r="L19" s="21">
        <v>24</v>
      </c>
      <c r="M19" s="21">
        <v>31</v>
      </c>
      <c r="N19" s="21">
        <v>12</v>
      </c>
      <c r="O19" s="21">
        <v>19</v>
      </c>
      <c r="P19" s="21">
        <v>34</v>
      </c>
      <c r="Q19" s="21">
        <v>29</v>
      </c>
      <c r="R19" s="21">
        <v>32</v>
      </c>
      <c r="S19" s="21">
        <v>34</v>
      </c>
      <c r="T19" s="21">
        <v>34</v>
      </c>
      <c r="U19" s="21">
        <v>32</v>
      </c>
      <c r="V19" s="21">
        <v>21</v>
      </c>
      <c r="W19" s="21">
        <v>25</v>
      </c>
      <c r="X19" s="21">
        <v>26</v>
      </c>
      <c r="Y19" s="21">
        <v>40</v>
      </c>
      <c r="Z19" s="21">
        <v>12</v>
      </c>
      <c r="AA19" s="21">
        <v>27</v>
      </c>
      <c r="AB19" s="21">
        <v>10</v>
      </c>
      <c r="AC19" s="21">
        <v>19</v>
      </c>
      <c r="AD19" s="21">
        <v>18</v>
      </c>
      <c r="AE19" s="21">
        <v>15</v>
      </c>
      <c r="AF19" s="21">
        <v>36</v>
      </c>
      <c r="AG19" s="21">
        <v>25</v>
      </c>
      <c r="AH19" s="21">
        <v>31</v>
      </c>
      <c r="AI19" s="21">
        <v>29</v>
      </c>
      <c r="AJ19" s="21">
        <v>19</v>
      </c>
      <c r="AK19" s="21">
        <v>32</v>
      </c>
      <c r="AL19" s="21">
        <v>12</v>
      </c>
      <c r="AM19" s="21">
        <v>9</v>
      </c>
      <c r="AN19" s="21">
        <v>6</v>
      </c>
      <c r="AO19" s="21">
        <v>12</v>
      </c>
      <c r="AP19" s="21">
        <v>22</v>
      </c>
      <c r="AQ19" s="21">
        <v>29</v>
      </c>
      <c r="AR19" s="21">
        <v>35</v>
      </c>
      <c r="AS19" s="21">
        <v>23</v>
      </c>
      <c r="AT19" s="21">
        <v>40</v>
      </c>
      <c r="AU19" s="21">
        <v>23</v>
      </c>
      <c r="AV19" s="21">
        <v>18</v>
      </c>
      <c r="AW19" s="21">
        <v>31</v>
      </c>
      <c r="AX19" s="21">
        <v>12</v>
      </c>
    </row>
    <row r="22" spans="1:50" x14ac:dyDescent="0.35">
      <c r="A22" s="371" t="s">
        <v>145</v>
      </c>
      <c r="B22" s="371"/>
    </row>
    <row r="23" spans="1:50" x14ac:dyDescent="0.35">
      <c r="A23" t="e" vm="1">
        <v>#VALUE!</v>
      </c>
      <c r="B23" s="18" cm="1">
        <f t="array" ref="B23">_FV(A23,"Price")</f>
        <v>17.9954</v>
      </c>
    </row>
    <row r="27" spans="1:50" x14ac:dyDescent="0.35">
      <c r="A27" t="s">
        <v>68</v>
      </c>
      <c r="B27" t="s">
        <v>143</v>
      </c>
      <c r="C27" t="s">
        <v>144</v>
      </c>
      <c r="G27" s="18"/>
    </row>
    <row r="28" spans="1:50" x14ac:dyDescent="0.35">
      <c r="A28" t="s">
        <v>116</v>
      </c>
      <c r="B28" t="s">
        <v>146</v>
      </c>
      <c r="C28" s="23">
        <f ca="1">RAND()*0.05+0.2</f>
        <v>0.23877545500305564</v>
      </c>
    </row>
    <row r="29" spans="1:50" x14ac:dyDescent="0.35">
      <c r="A29" t="s">
        <v>83</v>
      </c>
      <c r="B29" t="s">
        <v>146</v>
      </c>
      <c r="C29" s="23">
        <f t="shared" ref="C29" ca="1" si="0">RAND()*0.05+0.2</f>
        <v>0.2451629221066175</v>
      </c>
    </row>
    <row r="30" spans="1:50" x14ac:dyDescent="0.35">
      <c r="A30" t="s">
        <v>71</v>
      </c>
      <c r="B30" t="s">
        <v>151</v>
      </c>
      <c r="C30" s="23">
        <f ca="1">RAND()*0.03+0.07</f>
        <v>8.5570302186445124E-2</v>
      </c>
    </row>
    <row r="31" spans="1:50" x14ac:dyDescent="0.35">
      <c r="A31" t="s">
        <v>111</v>
      </c>
      <c r="B31" t="s">
        <v>147</v>
      </c>
      <c r="C31" s="23">
        <f ca="1">RAND()*0.03+0.2</f>
        <v>0.20988616748431096</v>
      </c>
    </row>
    <row r="32" spans="1:50" x14ac:dyDescent="0.35">
      <c r="A32" t="s">
        <v>95</v>
      </c>
      <c r="B32" t="s">
        <v>150</v>
      </c>
      <c r="C32" s="23">
        <f ca="1">RAND()*0.02+0</f>
        <v>1.7661116422336552E-2</v>
      </c>
    </row>
    <row r="33" spans="1:3" x14ac:dyDescent="0.35">
      <c r="A33" t="s">
        <v>96</v>
      </c>
      <c r="B33" t="s">
        <v>148</v>
      </c>
      <c r="C33" s="23">
        <f ca="1">RAND()*0.05+0.15</f>
        <v>0.16497939686272489</v>
      </c>
    </row>
    <row r="34" spans="1:3" x14ac:dyDescent="0.35">
      <c r="A34" t="s">
        <v>97</v>
      </c>
      <c r="B34" t="s">
        <v>149</v>
      </c>
      <c r="C34" s="23">
        <f ca="1">RAND()*0.05+0.1</f>
        <v>0.12039348165738746</v>
      </c>
    </row>
    <row r="35" spans="1:3" x14ac:dyDescent="0.35">
      <c r="A35" t="s">
        <v>98</v>
      </c>
      <c r="B35" t="s">
        <v>149</v>
      </c>
      <c r="C35" s="23">
        <f ca="1">RAND()*0.05+0.1</f>
        <v>0.1003441231541588</v>
      </c>
    </row>
  </sheetData>
  <mergeCells count="1">
    <mergeCell ref="A22:B22"/>
  </mergeCells>
  <pageMargins left="0.7" right="0.7" top="0.75" bottom="0.75" header="0.3" footer="0.3"/>
  <tableParts count="3">
    <tablePart r:id="rId1"/>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01813-F982-492A-9D3C-819C9EC4EDCB}">
  <sheetPr>
    <tabColor theme="8" tint="-0.499984740745262"/>
  </sheetPr>
  <dimension ref="A1:BQ46"/>
  <sheetViews>
    <sheetView zoomScale="52" workbookViewId="0">
      <selection activeCell="Q29" sqref="Q29"/>
    </sheetView>
  </sheetViews>
  <sheetFormatPr defaultRowHeight="14.5" x14ac:dyDescent="0.35"/>
  <cols>
    <col min="1" max="1" width="8.81640625" style="39" bestFit="1" customWidth="1"/>
    <col min="2" max="2" width="9.6328125" style="39" bestFit="1" customWidth="1"/>
    <col min="3" max="3" width="8.81640625" style="39" bestFit="1" customWidth="1"/>
    <col min="4" max="4" width="9.7265625" style="39" bestFit="1" customWidth="1"/>
    <col min="5" max="5" width="8.90625" style="39" bestFit="1" customWidth="1"/>
    <col min="6" max="6" width="14.08984375" style="39" bestFit="1" customWidth="1"/>
    <col min="7" max="8" width="8.7265625" style="39"/>
    <col min="9" max="10" width="8.7265625" style="94"/>
    <col min="11" max="11" width="15.26953125" style="94" bestFit="1" customWidth="1"/>
    <col min="12" max="12" width="14.90625" style="94" bestFit="1" customWidth="1"/>
    <col min="13" max="15" width="9.36328125" style="94" bestFit="1" customWidth="1"/>
    <col min="16" max="16" width="13.1796875" style="94" bestFit="1" customWidth="1"/>
    <col min="17" max="18" width="8.7265625" style="94"/>
    <col min="19" max="20" width="8.7265625" style="152"/>
    <col min="21" max="23" width="8.81640625" style="152" bestFit="1" customWidth="1"/>
    <col min="24" max="24" width="8.7265625" style="152"/>
    <col min="25" max="25" width="8.81640625" style="152" bestFit="1" customWidth="1"/>
    <col min="26" max="26" width="10.36328125" style="152" bestFit="1" customWidth="1"/>
    <col min="27" max="30" width="8.81640625" style="152" bestFit="1" customWidth="1"/>
    <col min="31" max="31" width="8.7265625" style="152"/>
    <col min="32" max="38" width="8.7265625" style="176"/>
    <col min="39" max="39" width="15.54296875" style="176" bestFit="1" customWidth="1"/>
    <col min="40" max="42" width="8.7265625" style="176"/>
    <col min="43" max="43" width="12.81640625" style="176" bestFit="1" customWidth="1"/>
    <col min="44" max="46" width="8.7265625" style="176"/>
    <col min="47" max="59" width="8.7265625" style="205"/>
    <col min="60" max="67" width="8.7265625" style="39"/>
  </cols>
  <sheetData>
    <row r="1" spans="1:65" x14ac:dyDescent="0.35">
      <c r="A1" s="373" t="s">
        <v>159</v>
      </c>
      <c r="B1" s="373"/>
      <c r="C1" s="373"/>
      <c r="D1" s="373"/>
      <c r="E1" s="373"/>
      <c r="F1" s="373"/>
      <c r="G1" s="373"/>
      <c r="H1" s="373"/>
      <c r="I1" s="374" t="s">
        <v>195</v>
      </c>
      <c r="J1" s="374"/>
      <c r="K1" s="374"/>
      <c r="L1" s="374"/>
      <c r="M1" s="374"/>
      <c r="N1" s="374"/>
      <c r="O1" s="374"/>
      <c r="P1" s="374"/>
      <c r="Q1" s="374"/>
      <c r="R1" s="374"/>
      <c r="S1" s="375" t="s">
        <v>247</v>
      </c>
      <c r="T1" s="375"/>
      <c r="U1" s="375"/>
      <c r="V1" s="375"/>
      <c r="W1" s="375"/>
      <c r="X1" s="375"/>
      <c r="Y1" s="375"/>
      <c r="Z1" s="375"/>
      <c r="AA1" s="375"/>
      <c r="AB1" s="375"/>
      <c r="AC1" s="375"/>
      <c r="AD1" s="375"/>
      <c r="AE1" s="375"/>
      <c r="AF1" s="376" t="s">
        <v>248</v>
      </c>
      <c r="AG1" s="376"/>
      <c r="AH1" s="376"/>
      <c r="AI1" s="376"/>
      <c r="AJ1" s="376"/>
      <c r="AK1" s="376"/>
      <c r="AL1" s="376"/>
      <c r="AM1" s="376"/>
      <c r="AN1" s="376"/>
      <c r="AO1" s="376"/>
      <c r="AP1" s="376"/>
      <c r="AQ1" s="376"/>
      <c r="AR1" s="376"/>
      <c r="AS1" s="376"/>
      <c r="AT1" s="376"/>
      <c r="AU1" s="377" t="s">
        <v>249</v>
      </c>
      <c r="AV1" s="377"/>
      <c r="AW1" s="377"/>
      <c r="AX1" s="377"/>
      <c r="AY1" s="377"/>
      <c r="AZ1" s="377"/>
      <c r="BA1" s="377"/>
      <c r="BB1" s="377"/>
      <c r="BC1" s="377"/>
      <c r="BD1" s="377"/>
      <c r="BE1" s="377"/>
      <c r="BF1" s="377"/>
      <c r="BG1" s="377"/>
    </row>
    <row r="2" spans="1:65" x14ac:dyDescent="0.35">
      <c r="A2" s="372" t="s">
        <v>47</v>
      </c>
      <c r="B2" s="372"/>
      <c r="C2" s="372" t="s">
        <v>48</v>
      </c>
      <c r="D2" s="372"/>
      <c r="E2" s="38"/>
      <c r="F2" s="38"/>
    </row>
    <row r="3" spans="1:65" ht="15" thickBot="1" x14ac:dyDescent="0.4">
      <c r="A3" s="38" t="s">
        <v>49</v>
      </c>
      <c r="B3" s="40">
        <f>'1. RATE CONVERTER'!P11</f>
        <v>0.08</v>
      </c>
      <c r="C3" s="41" t="s">
        <v>49</v>
      </c>
      <c r="D3" s="42">
        <f>(('1. RATE CONVERTER'!R11))</f>
        <v>0</v>
      </c>
      <c r="E3" s="38"/>
      <c r="F3" s="38"/>
      <c r="K3" s="95"/>
      <c r="L3" s="95"/>
      <c r="M3" s="95"/>
      <c r="N3" s="95"/>
      <c r="O3" s="95"/>
      <c r="P3" s="95"/>
    </row>
    <row r="4" spans="1:65" ht="17.5" thickBot="1" x14ac:dyDescent="0.45">
      <c r="A4" s="38" t="s">
        <v>34</v>
      </c>
      <c r="B4" s="43">
        <f>'1. RATE CONVERTER'!P12</f>
        <v>4</v>
      </c>
      <c r="C4" s="38" t="s">
        <v>51</v>
      </c>
      <c r="D4" s="43">
        <f>'1. RATE CONVERTER'!R12</f>
        <v>1</v>
      </c>
      <c r="E4" s="38"/>
      <c r="F4" s="38"/>
      <c r="K4" s="96" t="s">
        <v>189</v>
      </c>
      <c r="L4" s="96"/>
      <c r="M4" s="96"/>
      <c r="N4" s="96"/>
      <c r="O4" s="96"/>
      <c r="P4" s="96"/>
      <c r="BJ4" s="379" t="s">
        <v>25</v>
      </c>
      <c r="BK4" s="380"/>
      <c r="BL4" s="380"/>
      <c r="BM4" s="381"/>
    </row>
    <row r="5" spans="1:65" x14ac:dyDescent="0.35">
      <c r="A5" s="38" t="s">
        <v>35</v>
      </c>
      <c r="B5" s="43">
        <f>(('1. RATE CONVERTER'!P14))</f>
        <v>6</v>
      </c>
      <c r="C5" s="38" t="s">
        <v>53</v>
      </c>
      <c r="D5" s="43">
        <f>(('1. RATE CONVERTER'!R14))</f>
        <v>6</v>
      </c>
      <c r="E5" s="38"/>
      <c r="F5" s="38"/>
      <c r="K5" s="96" t="s">
        <v>47</v>
      </c>
      <c r="L5" s="96"/>
      <c r="M5" s="96" t="s">
        <v>48</v>
      </c>
      <c r="N5" s="96"/>
      <c r="O5" s="96"/>
      <c r="P5" s="96"/>
      <c r="BJ5" s="242" t="s">
        <v>11</v>
      </c>
      <c r="BK5" s="243">
        <f>'5. INCREASING ANNUITIES'!J36</f>
        <v>15000</v>
      </c>
      <c r="BL5" s="243" t="s">
        <v>10</v>
      </c>
      <c r="BM5" s="244">
        <f>BK5*(1+BK7)^(BK8*BK9)</f>
        <v>541648.5306610784</v>
      </c>
    </row>
    <row r="6" spans="1:65" ht="21" x14ac:dyDescent="0.35">
      <c r="A6" s="38"/>
      <c r="B6" s="38"/>
      <c r="C6" s="38"/>
      <c r="D6" s="38"/>
      <c r="E6" s="38"/>
      <c r="F6" s="38"/>
      <c r="K6" s="96" t="s">
        <v>49</v>
      </c>
      <c r="L6" s="97">
        <f>'2. SINGLE INVESTMENTS'!C14</f>
        <v>7.0000000000000007E-2</v>
      </c>
      <c r="M6" s="98" t="s">
        <v>49</v>
      </c>
      <c r="N6" s="98">
        <f>(('2. SINGLE INVESTMENTS'!E14))</f>
        <v>0</v>
      </c>
      <c r="O6" s="96"/>
      <c r="P6" s="96"/>
      <c r="U6" s="153"/>
      <c r="V6" s="154"/>
      <c r="W6" s="154"/>
      <c r="X6" s="154"/>
      <c r="Y6" s="155" t="s">
        <v>199</v>
      </c>
      <c r="Z6" s="155" t="s">
        <v>198</v>
      </c>
      <c r="AA6" s="155" t="s">
        <v>197</v>
      </c>
      <c r="AB6" s="155" t="s">
        <v>196</v>
      </c>
      <c r="AC6" s="156"/>
      <c r="AD6" s="156"/>
      <c r="AX6" s="206" t="s">
        <v>12</v>
      </c>
      <c r="AY6" s="206" t="s">
        <v>13</v>
      </c>
      <c r="AZ6" s="206" t="s">
        <v>14</v>
      </c>
      <c r="BJ6" s="242" t="s">
        <v>10</v>
      </c>
      <c r="BK6" s="245">
        <v>52422.661542884904</v>
      </c>
      <c r="BL6" s="382"/>
      <c r="BM6" s="383"/>
    </row>
    <row r="7" spans="1:65" ht="15" thickBot="1" x14ac:dyDescent="0.4">
      <c r="A7" s="44" t="s">
        <v>58</v>
      </c>
      <c r="B7" s="44" t="s">
        <v>59</v>
      </c>
      <c r="C7" s="44" t="s">
        <v>56</v>
      </c>
      <c r="D7" s="44" t="s">
        <v>60</v>
      </c>
      <c r="E7" s="44" t="s">
        <v>61</v>
      </c>
      <c r="F7" s="44" t="s">
        <v>62</v>
      </c>
      <c r="K7" s="96" t="s">
        <v>34</v>
      </c>
      <c r="L7" s="96">
        <f>'2. SINGLE INVESTMENTS'!C15</f>
        <v>12</v>
      </c>
      <c r="M7" s="96" t="s">
        <v>51</v>
      </c>
      <c r="N7" s="96">
        <f>'2. SINGLE INVESTMENTS'!E15</f>
        <v>4</v>
      </c>
      <c r="O7" s="96"/>
      <c r="P7" s="96"/>
      <c r="U7" s="157"/>
      <c r="V7" s="157"/>
      <c r="X7" s="157"/>
      <c r="Y7" s="156" t="s">
        <v>189</v>
      </c>
      <c r="Z7" s="156"/>
      <c r="AA7" s="156"/>
      <c r="AB7" s="156"/>
      <c r="AC7" s="156"/>
      <c r="AD7" s="156"/>
      <c r="AI7" s="177"/>
      <c r="AJ7" s="177"/>
      <c r="AK7" s="177"/>
      <c r="AL7" s="177"/>
      <c r="AM7" s="177"/>
      <c r="AN7" s="177"/>
      <c r="AO7" s="177"/>
      <c r="AP7" s="178"/>
      <c r="AQ7" s="178"/>
      <c r="AR7" s="178"/>
      <c r="AX7" s="206">
        <f>('5. INCREASING ANNUITIES'!I9*((1+'5. INCREASING ANNUITIES'!I8)^('5. INCREASING ANNUITIES'!I12)-1))/'5. INCREASING ANNUITIES'!I8</f>
        <v>41216.079999999987</v>
      </c>
      <c r="AY7" s="206">
        <f>((1+'5. INCREASING ANNUITIES'!I8)^('5. INCREASING ANNUITIES'!I12*'5. INCREASING ANNUITIES'!I13)-(1+'5. INCREASING ANNUITIES'!I14)^'5. INCREASING ANNUITIES'!I13)</f>
        <v>0.57914503683741025</v>
      </c>
      <c r="AZ7" s="207">
        <f>((1+'5. INCREASING ANNUITIES'!I8)^('5. INCREASING ANNUITIES'!I12)-(1+'5. INCREASING ANNUITIES'!I14))</f>
        <v>3.2432159999999932E-2</v>
      </c>
      <c r="BJ7" s="242" t="s">
        <v>24</v>
      </c>
      <c r="BK7" s="246">
        <f>'5. INCREASING ANNUITIES'!J37</f>
        <v>7.5000000000000622E-3</v>
      </c>
      <c r="BL7" s="382"/>
      <c r="BM7" s="383"/>
    </row>
    <row r="8" spans="1:65" x14ac:dyDescent="0.35">
      <c r="A8" s="45" t="s">
        <v>63</v>
      </c>
      <c r="B8" s="46">
        <f>B3</f>
        <v>0.08</v>
      </c>
      <c r="C8" s="47">
        <f>((1+B3)^(1/D4))-1</f>
        <v>8.0000000000000071E-2</v>
      </c>
      <c r="D8" s="47">
        <f>(((1+B3)^(1/D4))-1)*D4</f>
        <v>8.0000000000000071E-2</v>
      </c>
      <c r="E8" s="47">
        <f>B3/(D5*D4)</f>
        <v>1.3333333333333334E-2</v>
      </c>
      <c r="F8" s="48">
        <f>LN(1+B3)^(B5)</f>
        <v>2.0779046046191344E-7</v>
      </c>
      <c r="K8" s="96" t="s">
        <v>35</v>
      </c>
      <c r="L8" s="96">
        <f>(('2. SINGLE INVESTMENTS'!C17))</f>
        <v>1</v>
      </c>
      <c r="M8" s="96" t="s">
        <v>53</v>
      </c>
      <c r="N8" s="96">
        <f>('2. SINGLE INVESTMENTS'!E17)</f>
        <v>1</v>
      </c>
      <c r="O8" s="96"/>
      <c r="P8" s="96"/>
      <c r="U8" s="155"/>
      <c r="V8" s="155"/>
      <c r="X8" s="158"/>
      <c r="Y8" s="156" t="s">
        <v>47</v>
      </c>
      <c r="Z8" s="156"/>
      <c r="AA8" s="156" t="s">
        <v>48</v>
      </c>
      <c r="AB8" s="156"/>
      <c r="AC8" s="156"/>
      <c r="AD8" s="156"/>
      <c r="AI8" s="177"/>
      <c r="AJ8" s="177"/>
      <c r="AK8" s="177"/>
      <c r="AL8" s="179"/>
      <c r="AM8" s="179" t="s">
        <v>199</v>
      </c>
      <c r="AN8" s="179" t="s">
        <v>48</v>
      </c>
      <c r="AO8" s="179" t="s">
        <v>200</v>
      </c>
      <c r="AP8" s="178"/>
      <c r="AQ8" s="178"/>
      <c r="AR8" s="178"/>
      <c r="AX8" s="206">
        <f>('5. INCREASING ANNUITIES'!I9*(1+'5. INCREASING ANNUITIES'!I8)*((1+'5. INCREASING ANNUITIES'!I8)^('5. INCREASING ANNUITIES'!I12)-1))/'5. INCREASING ANNUITIES'!I8</f>
        <v>42040.40159999999</v>
      </c>
      <c r="AY8" s="206"/>
      <c r="AZ8" s="206"/>
      <c r="BJ8" s="247" t="s">
        <v>23</v>
      </c>
      <c r="BK8" s="243">
        <f>'5. INCREASING ANNUITIES'!J40</f>
        <v>40</v>
      </c>
      <c r="BL8" s="382"/>
      <c r="BM8" s="383"/>
    </row>
    <row r="9" spans="1:65" ht="15" thickBot="1" x14ac:dyDescent="0.4">
      <c r="A9" s="38" t="s">
        <v>65</v>
      </c>
      <c r="B9" s="48">
        <f>((1+B3)^(B4))-1</f>
        <v>0.3604889600000003</v>
      </c>
      <c r="C9" s="49">
        <f>((1+B3)^(B4/D4))-1</f>
        <v>0.3604889600000003</v>
      </c>
      <c r="D9" s="49">
        <f>((1+B3)^(B4/D4)-1)*D4</f>
        <v>0.3604889600000003</v>
      </c>
      <c r="E9" s="48">
        <f>((1+B3)^(B4)-1)/D4</f>
        <v>0.3604889600000003</v>
      </c>
      <c r="F9" s="48">
        <f>LN((1+B3)^(B4))</f>
        <v>0.30784416454451352</v>
      </c>
      <c r="K9" s="96"/>
      <c r="L9" s="96"/>
      <c r="M9" s="96"/>
      <c r="N9" s="96"/>
      <c r="O9" s="96"/>
      <c r="P9" s="96"/>
      <c r="U9" s="155"/>
      <c r="V9" s="155"/>
      <c r="W9" s="156">
        <f>'3. ANNUITIES'!P29</f>
        <v>150.32355187924122</v>
      </c>
      <c r="X9" s="158"/>
      <c r="Y9" s="156" t="s">
        <v>49</v>
      </c>
      <c r="Z9" s="159">
        <f>'3. ANNUITIES'!J13</f>
        <v>0.08</v>
      </c>
      <c r="AA9" s="160" t="s">
        <v>49</v>
      </c>
      <c r="AB9" s="160">
        <f>(('3. ANNUITIES'!L13))</f>
        <v>0</v>
      </c>
      <c r="AC9" s="156"/>
      <c r="AD9" s="156"/>
      <c r="AI9" s="177"/>
      <c r="AJ9" s="177"/>
      <c r="AK9" s="177"/>
      <c r="AL9" s="177"/>
      <c r="AM9" s="177"/>
      <c r="AN9" s="177"/>
      <c r="AO9" s="177"/>
      <c r="AP9" s="178"/>
      <c r="AQ9" s="178"/>
      <c r="AR9" s="178"/>
      <c r="BJ9" s="248" t="s">
        <v>21</v>
      </c>
      <c r="BK9" s="249">
        <f>'5. INCREASING ANNUITIES'!J39</f>
        <v>12</v>
      </c>
      <c r="BL9" s="384"/>
      <c r="BM9" s="385"/>
    </row>
    <row r="10" spans="1:65" ht="15" thickBot="1" x14ac:dyDescent="0.4">
      <c r="A10" s="38" t="s">
        <v>55</v>
      </c>
      <c r="B10" s="48">
        <f>((1+B3/B4)^(12))-1</f>
        <v>0.26824179456254527</v>
      </c>
      <c r="C10" s="49">
        <f>((1+B3/B4)^(B4/D4))-1</f>
        <v>8.2432159999999977E-2</v>
      </c>
      <c r="D10" s="49">
        <f>((1+B3/B4)^(B4/D4)-1)*D4</f>
        <v>8.2432159999999977E-2</v>
      </c>
      <c r="E10" s="48">
        <f>((1+B3/B4)^(B4)-1)/D4</f>
        <v>8.2432159999999977E-2</v>
      </c>
      <c r="F10" s="50">
        <f>LN(1+B3)^(B5*B4)</f>
        <v>1.8642425743997525E-27</v>
      </c>
      <c r="K10" s="99" t="s">
        <v>58</v>
      </c>
      <c r="L10" s="99" t="s">
        <v>59</v>
      </c>
      <c r="M10" s="99" t="s">
        <v>56</v>
      </c>
      <c r="N10" s="99" t="s">
        <v>60</v>
      </c>
      <c r="O10" s="99" t="s">
        <v>61</v>
      </c>
      <c r="P10" s="99" t="s">
        <v>62</v>
      </c>
      <c r="U10" s="155"/>
      <c r="V10" s="155"/>
      <c r="W10" s="155"/>
      <c r="X10" s="161"/>
      <c r="Y10" s="156" t="s">
        <v>34</v>
      </c>
      <c r="Z10" s="156">
        <f>'3. ANNUITIES'!J14</f>
        <v>1</v>
      </c>
      <c r="AA10" s="156" t="s">
        <v>51</v>
      </c>
      <c r="AB10" s="156">
        <f>'3. ANNUITIES'!L14</f>
        <v>12</v>
      </c>
      <c r="AC10" s="156"/>
      <c r="AD10" s="156"/>
      <c r="AI10" s="177"/>
      <c r="AJ10" s="177"/>
      <c r="AK10" s="177"/>
      <c r="AL10" s="177"/>
      <c r="AR10" s="178"/>
      <c r="BJ10" s="243"/>
      <c r="BK10" s="243"/>
      <c r="BL10" s="243"/>
      <c r="BM10" s="243"/>
    </row>
    <row r="11" spans="1:65" ht="17.5" thickBot="1" x14ac:dyDescent="0.45">
      <c r="A11" s="38" t="s">
        <v>66</v>
      </c>
      <c r="B11" s="48">
        <f>((1+B3*B4))-1</f>
        <v>0.32000000000000006</v>
      </c>
      <c r="C11" s="49">
        <f>((1+B3*B4)^(1/D4)-1)</f>
        <v>0.32000000000000006</v>
      </c>
      <c r="D11" s="49">
        <f>((1+B3*B4)^(1/D4)-1)*D4</f>
        <v>0.32000000000000006</v>
      </c>
      <c r="E11" s="48">
        <f>((1+$B3*$B4)-1)/D4</f>
        <v>0.32000000000000006</v>
      </c>
      <c r="F11" s="43">
        <f>LN(1+B5*B3*B4)</f>
        <v>1.0715836162801904</v>
      </c>
      <c r="K11" s="96" t="s">
        <v>63</v>
      </c>
      <c r="L11" s="98">
        <f>L6</f>
        <v>7.0000000000000007E-2</v>
      </c>
      <c r="M11" s="100">
        <f>((1+L6)^(1/N7))-1</f>
        <v>1.7058525001811375E-2</v>
      </c>
      <c r="N11" s="100">
        <f>(((1+L6)^(1/N7))-1)*N7</f>
        <v>6.8234100007245502E-2</v>
      </c>
      <c r="O11" s="100">
        <f>L6/(N8*N7)</f>
        <v>1.7500000000000002E-2</v>
      </c>
      <c r="P11" s="100">
        <f>LN(1+L6)^(L8)</f>
        <v>6.7658648473814864E-2</v>
      </c>
      <c r="U11" s="155"/>
      <c r="V11" s="155"/>
      <c r="W11" s="155"/>
      <c r="X11" s="162"/>
      <c r="Y11" s="156" t="s">
        <v>35</v>
      </c>
      <c r="Z11" s="156">
        <f>(('3. ANNUITIES'!J16))</f>
        <v>1</v>
      </c>
      <c r="AA11" s="156" t="s">
        <v>53</v>
      </c>
      <c r="AB11" s="156">
        <f>(('3. ANNUITIES'!L16))</f>
        <v>1</v>
      </c>
      <c r="AC11" s="156"/>
      <c r="AD11" s="156"/>
      <c r="AI11" s="177"/>
      <c r="AJ11" s="177"/>
      <c r="AK11" s="177"/>
      <c r="AL11" s="177"/>
      <c r="AR11" s="178"/>
      <c r="BJ11" s="379" t="s">
        <v>45</v>
      </c>
      <c r="BK11" s="380"/>
      <c r="BL11" s="380"/>
      <c r="BM11" s="381"/>
    </row>
    <row r="12" spans="1:65" ht="41.5" x14ac:dyDescent="0.35">
      <c r="A12" s="38" t="s">
        <v>62</v>
      </c>
      <c r="B12" s="48">
        <f>A13^(B3/(D5*D4))-1</f>
        <v>1.3422618604342462E-2</v>
      </c>
      <c r="C12" s="51">
        <f>A13^(B3/(D4*D5))-1</f>
        <v>1.3422618604342462E-2</v>
      </c>
      <c r="D12" s="48">
        <f>(A13^(B3/(D4*D5))-1)*D4</f>
        <v>1.3422618604342462E-2</v>
      </c>
      <c r="E12" s="48">
        <f>(A13^(B3)-1)/(D5*D4)</f>
        <v>1.3881177945826439E-2</v>
      </c>
      <c r="F12" s="43"/>
      <c r="K12" s="96" t="s">
        <v>65</v>
      </c>
      <c r="L12" s="101">
        <f>((1+L6)^(L7))-1</f>
        <v>1.2521915889608235</v>
      </c>
      <c r="M12" s="102">
        <f>((1+L6)^(L7/N7))-1</f>
        <v>0.2250430000000001</v>
      </c>
      <c r="N12" s="102">
        <f>((1+L6)^(L7/N7)-1)*N7</f>
        <v>0.90017200000000042</v>
      </c>
      <c r="O12" s="100">
        <f>((1+L6)^(L7)-1)/N7</f>
        <v>0.31304789724020587</v>
      </c>
      <c r="P12" s="100">
        <f>LN((1+L6)^(L7))</f>
        <v>0.8119037816857777</v>
      </c>
      <c r="U12" s="163">
        <f>(('3. ANNUITIES'!Q12*'3. ANNUITIES'!Q8)/'3. ANNUITIES'!Q7*(1+'3. ANNUITIES'!Q8))+1</f>
        <v>1.0272044530986348</v>
      </c>
      <c r="V12" s="155"/>
      <c r="W12" s="155"/>
      <c r="X12" s="164"/>
      <c r="Y12" s="156"/>
      <c r="Z12" s="156"/>
      <c r="AA12" s="156"/>
      <c r="AB12" s="156"/>
      <c r="AC12" s="156"/>
      <c r="AD12" s="156"/>
      <c r="AI12" s="177"/>
      <c r="AJ12" s="177"/>
      <c r="AK12" s="177"/>
      <c r="AL12" s="177"/>
      <c r="AR12" s="178"/>
      <c r="BJ12" s="242" t="s">
        <v>20</v>
      </c>
      <c r="BK12" s="243">
        <f>'5. INCREASING ANNUITIES'!K36</f>
        <v>4000</v>
      </c>
      <c r="BL12" s="250" t="s">
        <v>19</v>
      </c>
      <c r="BM12" s="244">
        <f>BK12*(1+BK14)^(BK13)</f>
        <v>41142.871748503712</v>
      </c>
    </row>
    <row r="13" spans="1:65" x14ac:dyDescent="0.35">
      <c r="A13" s="38">
        <f>EXP(1)</f>
        <v>2.7182818284590451</v>
      </c>
      <c r="B13" s="38"/>
      <c r="C13" s="38"/>
      <c r="D13" s="38"/>
      <c r="E13" s="38"/>
      <c r="F13" s="38"/>
      <c r="K13" s="96" t="s">
        <v>55</v>
      </c>
      <c r="L13" s="101">
        <f>((1+L6/L7)^(12))-1</f>
        <v>7.2290080856235894E-2</v>
      </c>
      <c r="M13" s="102">
        <f>((1+L6/L7)^(L7/N7))-1</f>
        <v>1.7602281828703825E-2</v>
      </c>
      <c r="N13" s="102">
        <f>((1+L6/L7)^(L7/N7)-1)*N7</f>
        <v>7.0409127314815301E-2</v>
      </c>
      <c r="O13" s="100">
        <f>((1+L6/L7)^(L7)-1)/N7</f>
        <v>1.8072520214058974E-2</v>
      </c>
      <c r="P13" s="100">
        <f>LN((1+(L6/L7)))*(L7*L8)</f>
        <v>6.9796623857278167E-2</v>
      </c>
      <c r="U13" s="156">
        <f>-(('3. ANNUITIES'!Q11*'3. ANNUITIES'!Q8)/'3. ANNUITIES'!Q7*(1+'3. ANNUITIES'!Q8)-1)</f>
        <v>0.97856618846774235</v>
      </c>
      <c r="V13" s="155"/>
      <c r="W13" s="155"/>
      <c r="X13" s="155"/>
      <c r="Y13" s="155" t="s">
        <v>58</v>
      </c>
      <c r="Z13" s="155" t="s">
        <v>59</v>
      </c>
      <c r="AA13" s="155" t="s">
        <v>56</v>
      </c>
      <c r="AB13" s="155" t="s">
        <v>60</v>
      </c>
      <c r="AC13" s="155" t="s">
        <v>61</v>
      </c>
      <c r="AD13" s="155" t="s">
        <v>62</v>
      </c>
      <c r="AI13" s="177"/>
      <c r="AJ13" s="177"/>
      <c r="AK13" s="177"/>
      <c r="AL13" s="177"/>
      <c r="AR13" s="178"/>
      <c r="BJ13" s="242" t="s">
        <v>18</v>
      </c>
      <c r="BK13" s="243">
        <f>'5. INCREASING ANNUITIES'!K40</f>
        <v>40</v>
      </c>
      <c r="BL13" s="243"/>
      <c r="BM13" s="244"/>
    </row>
    <row r="14" spans="1:65" ht="15" thickBot="1" x14ac:dyDescent="0.4">
      <c r="K14" s="96" t="s">
        <v>66</v>
      </c>
      <c r="L14" s="101">
        <f>((1+L6*L7))-1</f>
        <v>0.84000000000000008</v>
      </c>
      <c r="M14" s="102">
        <f>((1+$L6*$L7)^(1/$N7)-1)</f>
        <v>0.16467420192303295</v>
      </c>
      <c r="N14" s="102">
        <f>((1+$L6*$L7)^(1/$N7)-1)*N7</f>
        <v>0.65869680769213179</v>
      </c>
      <c r="O14" s="100">
        <f>((1+$L6*$L7)-1)/N7</f>
        <v>0.21000000000000002</v>
      </c>
      <c r="P14" s="103">
        <f>LN(1+L8*L6*L7)</f>
        <v>0.60976557162089429</v>
      </c>
      <c r="U14" s="155"/>
      <c r="V14" s="157"/>
      <c r="W14" s="164"/>
      <c r="X14" s="155"/>
      <c r="Y14" s="156" t="s">
        <v>63</v>
      </c>
      <c r="Z14" s="160">
        <f>Z9</f>
        <v>0.08</v>
      </c>
      <c r="AA14" s="165">
        <f>((1+Z9)^(1/AB10))-1</f>
        <v>6.4340301100034303E-3</v>
      </c>
      <c r="AB14" s="165">
        <f>(((1+Z9)^(1/AB10))-1)*AB10</f>
        <v>7.7208361320041163E-2</v>
      </c>
      <c r="AC14" s="165">
        <f>Z9/(AB11*AB10)</f>
        <v>6.6666666666666671E-3</v>
      </c>
      <c r="AD14" s="165">
        <f>LN(1+Z9)^(Z11)</f>
        <v>7.6961041136128394E-2</v>
      </c>
      <c r="AI14" s="177"/>
      <c r="AJ14" s="177"/>
      <c r="AK14" s="177"/>
      <c r="AL14" s="177"/>
      <c r="AR14" s="178"/>
      <c r="BJ14" s="248" t="s">
        <v>17</v>
      </c>
      <c r="BK14" s="251">
        <f>'5. INCREASING ANNUITIES'!J38</f>
        <v>0.06</v>
      </c>
      <c r="BL14" s="249"/>
      <c r="BM14" s="252"/>
    </row>
    <row r="15" spans="1:65" x14ac:dyDescent="0.35">
      <c r="K15" s="96" t="s">
        <v>62</v>
      </c>
      <c r="L15" s="101">
        <f>K17^(L6/(N8*N7))-1</f>
        <v>1.7654022150761728E-2</v>
      </c>
      <c r="M15" s="103">
        <f>K17^(L6/(N7*N8))-1</f>
        <v>1.7654022150761728E-2</v>
      </c>
      <c r="N15" s="100">
        <f>(K17^(L6/(N7*N8))-1)*N7</f>
        <v>7.0616088603046911E-2</v>
      </c>
      <c r="O15" s="100">
        <f>(K17^(L6)-1)/(N8*N7)</f>
        <v>1.8127045313554135E-2</v>
      </c>
      <c r="P15" s="96"/>
      <c r="U15" s="155"/>
      <c r="V15" s="157"/>
      <c r="W15" s="164"/>
      <c r="X15" s="155"/>
      <c r="Y15" s="156" t="s">
        <v>65</v>
      </c>
      <c r="Z15" s="165">
        <f>((1+Z9)^(Z10))-1</f>
        <v>8.0000000000000071E-2</v>
      </c>
      <c r="AA15" s="166">
        <f>((1+Z9)^(Z10/AB10))-1</f>
        <v>6.4340301100034303E-3</v>
      </c>
      <c r="AB15" s="166">
        <f>((1+Z9)^(Z10/AB10)-1)*AB10</f>
        <v>7.7208361320041163E-2</v>
      </c>
      <c r="AC15" s="165">
        <f>((1+Z9)^(Z10)-1)/AB10</f>
        <v>6.6666666666666723E-3</v>
      </c>
      <c r="AD15" s="165">
        <f>LN((1+Z9)^(Z10))</f>
        <v>7.6961041136128394E-2</v>
      </c>
      <c r="AI15" s="177"/>
      <c r="AJ15" s="177"/>
      <c r="AK15" s="177"/>
      <c r="AL15" s="182" cm="1">
        <f t="array" ref="AL15:AM15">'4.LOANS'!J17:K17</f>
        <v>3.0224999999999724E-2</v>
      </c>
      <c r="AM15" s="176">
        <v>0</v>
      </c>
      <c r="AR15" s="178"/>
      <c r="BJ15" s="243"/>
      <c r="BK15" s="243"/>
      <c r="BL15" s="243"/>
      <c r="BM15" s="243"/>
    </row>
    <row r="16" spans="1:65" x14ac:dyDescent="0.35">
      <c r="K16" s="96"/>
      <c r="L16" s="96"/>
      <c r="M16" s="96"/>
      <c r="N16" s="96"/>
      <c r="O16" s="96"/>
      <c r="P16" s="96"/>
      <c r="U16" s="155"/>
      <c r="V16" s="167"/>
      <c r="W16" s="155"/>
      <c r="X16" s="155"/>
      <c r="Y16" s="156" t="s">
        <v>55</v>
      </c>
      <c r="Z16" s="165">
        <f>((1+Z9/Z10)^(12))-1</f>
        <v>1.5181701168189798</v>
      </c>
      <c r="AA16" s="166">
        <f>((1+Z9/Z10)^(Z10/AB10))-1</f>
        <v>6.4340301100034303E-3</v>
      </c>
      <c r="AB16" s="166">
        <f>((1+Z9/Z10)^(Z10/AB10)-1)*AB10</f>
        <v>7.7208361320041163E-2</v>
      </c>
      <c r="AC16" s="165">
        <f>((1+Z9/Z10)^(Z10)-1)/AB10</f>
        <v>6.6666666666666723E-3</v>
      </c>
      <c r="AD16" s="165">
        <f>LN((1+(Z9/Z10)))*(Z10*Z11)</f>
        <v>7.6961041136128394E-2</v>
      </c>
      <c r="AI16" s="177"/>
      <c r="AJ16" s="177"/>
      <c r="AK16" s="177"/>
      <c r="AL16" s="183">
        <f>'4.LOANS'!R17</f>
        <v>0.06</v>
      </c>
      <c r="AR16" s="178"/>
      <c r="BJ16" s="243"/>
      <c r="BK16" s="243"/>
      <c r="BL16" s="243"/>
      <c r="BM16" s="243"/>
    </row>
    <row r="17" spans="11:69" ht="28" x14ac:dyDescent="0.35">
      <c r="K17" s="96">
        <f>EXP(1)</f>
        <v>2.7182818284590451</v>
      </c>
      <c r="L17" s="96"/>
      <c r="M17" s="96"/>
      <c r="N17" s="96"/>
      <c r="O17" s="96"/>
      <c r="P17" s="96"/>
      <c r="U17" s="168"/>
      <c r="V17" s="155"/>
      <c r="W17" s="155"/>
      <c r="X17" s="155"/>
      <c r="Y17" s="156" t="s">
        <v>66</v>
      </c>
      <c r="Z17" s="165">
        <f>((1+Z9*Z10))-1</f>
        <v>8.0000000000000071E-2</v>
      </c>
      <c r="AA17" s="166">
        <f>((1+$Z9*$Z10)^(1/$AB10)-1)</f>
        <v>6.4340301100034303E-3</v>
      </c>
      <c r="AB17" s="166">
        <f>((1+$Z9*$Z10)^(1/$AB10)-1)*AB10</f>
        <v>7.7208361320041163E-2</v>
      </c>
      <c r="AC17" s="165">
        <f>((1+$Z9*$Z10)-1)/AB10</f>
        <v>6.6666666666666723E-3</v>
      </c>
      <c r="AD17" s="169">
        <f>LN(1+Z11*Z9*Z10)</f>
        <v>7.6961041136128394E-2</v>
      </c>
      <c r="AI17" s="177"/>
      <c r="AJ17" s="177"/>
      <c r="AK17" s="177"/>
      <c r="AL17" s="177"/>
      <c r="AM17" s="177"/>
      <c r="AN17" s="177"/>
      <c r="AO17" s="178"/>
      <c r="AP17" s="178"/>
      <c r="AQ17" s="178"/>
      <c r="AR17" s="178"/>
      <c r="BJ17" s="250" t="s">
        <v>30</v>
      </c>
      <c r="BK17" s="245">
        <f>(((1+('5. INCREASING ANNUITIES'!J37))^('5. INCREASING ANNUITIES'!J41)-1)/('5. INCREASING ANNUITIES'!J37))*((1+('5. INCREASING ANNUITIES'!J37))^('5. INCREASING ANNUITIES'!J41*'5. INCREASING ANNUITIES'!J42)-(1+'5. INCREASING ANNUITIES'!J38)^('5. INCREASING ANNUITIES'!J42))/((1+('5. INCREASING ANNUITIES'!J37))^('5. INCREASING ANNUITIES'!J41)-(1+'5. INCREASING ANNUITIES'!J38))</f>
        <v>9554.210384452952</v>
      </c>
      <c r="BL17" s="243"/>
      <c r="BM17" s="243"/>
    </row>
    <row r="18" spans="11:69" x14ac:dyDescent="0.35">
      <c r="U18" s="155"/>
      <c r="V18" s="155"/>
      <c r="W18" s="155"/>
      <c r="X18" s="155"/>
      <c r="Y18" s="156" t="s">
        <v>62</v>
      </c>
      <c r="Z18" s="165">
        <f>Y20^(Z9/(AB11*AB10))-1</f>
        <v>6.6889383540194025E-3</v>
      </c>
      <c r="AA18" s="169">
        <f>Y20^(Z9/(AB10*AB11))-1</f>
        <v>6.6889383540194025E-3</v>
      </c>
      <c r="AB18" s="165">
        <f>(Y20^(Z9/(AB10*AB11))-1)*AB10</f>
        <v>8.026726024823283E-2</v>
      </c>
      <c r="AC18" s="165">
        <f>(Y20^(Z9)-1)/(AB11*AB10)</f>
        <v>6.9405889729132197E-3</v>
      </c>
      <c r="AD18" s="156"/>
      <c r="AI18" s="177"/>
      <c r="AJ18" s="177"/>
      <c r="AK18" s="177"/>
      <c r="AL18" s="177"/>
      <c r="AM18" s="177"/>
      <c r="AN18" s="177"/>
      <c r="AO18" s="178"/>
      <c r="AP18" s="178"/>
      <c r="AQ18" s="178"/>
      <c r="AR18" s="178"/>
      <c r="BJ18" s="243" t="s">
        <v>29</v>
      </c>
      <c r="BK18" s="243">
        <f>BACKROOM1!BM12*(((1+'5. INCREASING ANNUITIES'!K37)^('5. INCREASING ANNUITIES'!K41)-1)/'5. INCREASING ANNUITIES'!K37)*((1+'5. INCREASING ANNUITIES'!K37)^('5. INCREASING ANNUITIES'!K42*'5. INCREASING ANNUITIES'!K41)-(1+'5. INCREASING ANNUITIES'!K38)^('5. INCREASING ANNUITIES'!K42))/((1+'5. INCREASING ANNUITIES'!K37)^('5. INCREASING ANNUITIES'!K41)-(1+'5. INCREASING ANNUITIES'!K38))</f>
        <v>42651411.858933948</v>
      </c>
      <c r="BL18" s="243"/>
      <c r="BM18" s="243"/>
    </row>
    <row r="19" spans="11:69" x14ac:dyDescent="0.35">
      <c r="K19" s="104">
        <f>'2. SINGLE INVESTMENTS'!K11</f>
        <v>0.1</v>
      </c>
      <c r="U19" s="155"/>
      <c r="V19" s="155"/>
      <c r="W19" s="155"/>
      <c r="X19" s="155"/>
      <c r="Y19" s="156"/>
      <c r="Z19" s="156"/>
      <c r="AA19" s="156"/>
      <c r="AB19" s="156"/>
      <c r="AC19" s="156"/>
      <c r="AD19" s="156"/>
      <c r="AI19" s="177"/>
      <c r="AJ19" s="177"/>
      <c r="AK19" s="177"/>
      <c r="AL19" s="177"/>
      <c r="AM19" s="177"/>
      <c r="AN19" s="177"/>
      <c r="AO19" s="177"/>
      <c r="AP19" s="177"/>
      <c r="AQ19" s="180">
        <f>'4.LOANS'!R11*'4.LOANS'!R14</f>
        <v>15000</v>
      </c>
      <c r="AR19" s="178"/>
      <c r="BJ19" s="243" t="s">
        <v>28</v>
      </c>
      <c r="BK19" s="245">
        <f>BACKROOM1!BM12*(((1+'5. INCREASING ANNUITIES'!K37)^('5. INCREASING ANNUITIES'!K41)-1)/'5. INCREASING ANNUITIES'!K37)*((1+'5. INCREASING ANNUITIES'!K37)^('5. INCREASING ANNUITIES'!K42*'5. INCREASING ANNUITIES'!K41)-(1+'5. INCREASING ANNUITIES'!K38)^('5. INCREASING ANNUITIES'!K42))/((1+'5. INCREASING ANNUITIES'!K37)^('5. INCREASING ANNUITIES'!K41)-(1+'5. INCREASING ANNUITIES'!K38))/(1+'5. INCREASING ANNUITIES'!K37)^('5. INCREASING ANNUITIES'!K41*'5. INCREASING ANNUITIES'!K42)</f>
        <v>7097742.7820272818</v>
      </c>
      <c r="BL19" s="243"/>
      <c r="BM19" s="243"/>
    </row>
    <row r="20" spans="11:69" x14ac:dyDescent="0.35">
      <c r="K20" s="105">
        <f>'2. SINGLE INVESTMENTS'!E19</f>
        <v>0.2250430000000001</v>
      </c>
      <c r="U20" s="155"/>
      <c r="V20" s="155"/>
      <c r="W20" s="155"/>
      <c r="X20" s="155"/>
      <c r="Y20" s="156">
        <f>EXP(1)</f>
        <v>2.7182818284590451</v>
      </c>
      <c r="Z20" s="156"/>
      <c r="AA20" s="156"/>
      <c r="AB20" s="156"/>
      <c r="AC20" s="156"/>
      <c r="AD20" s="156"/>
      <c r="AI20" s="177"/>
      <c r="AJ20" s="177"/>
      <c r="AK20" s="181" t="s">
        <v>199</v>
      </c>
      <c r="AL20" s="181" t="s">
        <v>198</v>
      </c>
      <c r="AM20" s="181" t="s">
        <v>197</v>
      </c>
      <c r="AN20" s="181" t="s">
        <v>196</v>
      </c>
      <c r="AO20" s="177"/>
      <c r="AP20" s="177"/>
      <c r="AQ20" s="177"/>
      <c r="AR20" s="178"/>
      <c r="BJ20" s="243" t="s">
        <v>9</v>
      </c>
      <c r="BK20" s="245">
        <f>(BK19-BACKROOM1!BM5)/BK17</f>
        <v>686.19948562516265</v>
      </c>
      <c r="BL20" s="243"/>
      <c r="BM20" s="243"/>
    </row>
    <row r="21" spans="11:69" x14ac:dyDescent="0.35">
      <c r="U21" s="170"/>
      <c r="V21" s="170"/>
      <c r="W21" s="170"/>
      <c r="X21" s="170"/>
      <c r="Y21" s="170"/>
      <c r="Z21" s="170"/>
      <c r="AA21" s="170"/>
      <c r="AB21" s="170"/>
      <c r="AC21" s="170"/>
      <c r="AD21" s="170"/>
      <c r="AI21" s="177"/>
      <c r="AJ21" s="177"/>
      <c r="AK21" s="177" t="s">
        <v>189</v>
      </c>
      <c r="AL21" s="177"/>
      <c r="AM21" s="177"/>
      <c r="AN21" s="177"/>
      <c r="AO21" s="177"/>
      <c r="AP21" s="177"/>
      <c r="AQ21" s="177"/>
      <c r="AR21" s="178"/>
    </row>
    <row r="22" spans="11:69" x14ac:dyDescent="0.35">
      <c r="U22" s="156"/>
      <c r="V22" s="156"/>
      <c r="W22" s="156"/>
      <c r="X22" s="156"/>
      <c r="Y22" s="156"/>
      <c r="Z22" s="156"/>
      <c r="AA22" s="156"/>
      <c r="AB22" s="156"/>
      <c r="AC22" s="156"/>
      <c r="AD22" s="156"/>
      <c r="AI22" s="177"/>
      <c r="AJ22" s="181"/>
      <c r="AK22" s="177" t="s">
        <v>47</v>
      </c>
      <c r="AL22" s="177"/>
      <c r="AM22" s="177" t="s">
        <v>48</v>
      </c>
      <c r="AN22" s="177"/>
      <c r="AO22" s="177"/>
      <c r="AP22" s="177"/>
      <c r="AQ22" s="177"/>
      <c r="AR22" s="177"/>
    </row>
    <row r="23" spans="11:69" x14ac:dyDescent="0.35">
      <c r="K23" s="106" t="s">
        <v>186</v>
      </c>
      <c r="L23" s="107" t="s">
        <v>163</v>
      </c>
      <c r="M23" s="107" t="s">
        <v>187</v>
      </c>
      <c r="N23" s="107" t="s">
        <v>171</v>
      </c>
      <c r="O23" s="108" t="s">
        <v>1</v>
      </c>
      <c r="P23" s="107" t="s">
        <v>188</v>
      </c>
      <c r="Y23" s="378" t="s">
        <v>221</v>
      </c>
      <c r="Z23" s="378"/>
      <c r="AI23" s="177"/>
      <c r="AJ23" s="177"/>
      <c r="AK23" s="177" t="s">
        <v>49</v>
      </c>
      <c r="AL23" s="182">
        <f>'4.LOANS'!H13</f>
        <v>0.06</v>
      </c>
      <c r="AM23" s="183" t="s">
        <v>49</v>
      </c>
      <c r="AN23" s="183">
        <f>(('4.LOANS'!J13))</f>
        <v>0</v>
      </c>
      <c r="AO23" s="177"/>
      <c r="AP23" s="177"/>
      <c r="AQ23" s="177"/>
      <c r="AR23" s="177"/>
    </row>
    <row r="24" spans="11:69" x14ac:dyDescent="0.35">
      <c r="K24" s="107" t="s">
        <v>190</v>
      </c>
      <c r="L24" s="109">
        <f>'2. SINGLE INVESTMENTS'!Z4*(1+('2. SINGLE INVESTMENTS'!Z5*'2. SINGLE INVESTMENTS'!Z6*'2. SINGLE INVESTMENTS'!Z7))</f>
        <v>18000</v>
      </c>
      <c r="M24" s="109">
        <f>'2. SINGLE INVESTMENTS'!Z3/(1+'2. SINGLE INVESTMENTS'!Z5*'2. SINGLE INVESTMENTS'!Z6*'2. SINGLE INVESTMENTS'!Z7)</f>
        <v>1111.1111111111111</v>
      </c>
      <c r="N24" s="109">
        <f>(('2. SINGLE INVESTMENTS'!Z3/'2. SINGLE INVESTMENTS'!Z4)-1)/('2. SINGLE INVESTMENTS'!Z5*'2. SINGLE INVESTMENTS'!Z7)</f>
        <v>5</v>
      </c>
      <c r="O24" s="110">
        <f>(('2. SINGLE INVESTMENTS'!Z3/'2. SINGLE INVESTMENTS'!Z4)-1)/('2. SINGLE INVESTMENTS'!Z6*'2. SINGLE INVESTMENTS'!Z7)</f>
        <v>0.05</v>
      </c>
      <c r="P24" s="109">
        <f>L24-M24</f>
        <v>16888.888888888891</v>
      </c>
      <c r="Y24" s="171">
        <f>'3. ANNUITIES'!Q13</f>
        <v>7.0000000000000007E-2</v>
      </c>
      <c r="Z24" s="166">
        <f>'3. ANNUITIES'!L17</f>
        <v>6.6889383540194025E-3</v>
      </c>
      <c r="AI24" s="177"/>
      <c r="AJ24" s="177"/>
      <c r="AK24" s="177" t="s">
        <v>34</v>
      </c>
      <c r="AL24" s="177">
        <f>'4.LOANS'!H14</f>
        <v>4</v>
      </c>
      <c r="AM24" s="177" t="s">
        <v>51</v>
      </c>
      <c r="AN24" s="177">
        <f>'4.LOANS'!J14</f>
        <v>2</v>
      </c>
      <c r="AO24" s="177"/>
      <c r="AP24" s="177"/>
      <c r="AQ24" s="177"/>
      <c r="AR24" s="177"/>
    </row>
    <row r="25" spans="11:69" x14ac:dyDescent="0.35">
      <c r="K25" s="107" t="s">
        <v>191</v>
      </c>
      <c r="L25" s="109">
        <f>'2. SINGLE INVESTMENTS'!Z4*(1+'2. SINGLE INVESTMENTS'!Z5)^('2. SINGLE INVESTMENTS'!Z7*'2. SINGLE INVESTMENTS'!Z6)</f>
        <v>4096800.429170954</v>
      </c>
      <c r="M25" s="95">
        <f>'2. SINGLE INVESTMENTS'!Z3/(1+'2. SINGLE INVESTMENTS'!Z5)^('2. SINGLE INVESTMENTS'!Z7*'2. SINGLE INVESTMENTS'!Z6)</f>
        <v>4.8818585004999342</v>
      </c>
      <c r="N25" s="109">
        <f>((LOG('2. SINGLE INVESTMENTS'!Z3/'2. SINGLE INVESTMENTS'!Z4))/(LOG(1+'2. SINGLE INVESTMENTS'!Z5)))/'2. SINGLE INVESTMENTS'!Z7</f>
        <v>2.1107896288443841</v>
      </c>
      <c r="O25" s="110">
        <f>(('2. SINGLE INVESTMENTS'!Z3/'2. SINGLE INVESTMENTS'!Z4)^(1/('2. SINGLE INVESTMENTS'!Z6*'2. SINGLE INVESTMENTS'!Z7)))-1</f>
        <v>2.0321704262939777E-2</v>
      </c>
      <c r="P25" s="109">
        <f>L25-M25</f>
        <v>4096795.5473124534</v>
      </c>
      <c r="U25" s="172">
        <f>-((('3. ANNUITIES'!Q11*'3. ANNUITIES'!Q8)/'3. ANNUITIES'!Q7)-1)</f>
        <v>0.97899060637217394</v>
      </c>
      <c r="V25" s="156">
        <f>-'3. ANNUITIES'!Q9*'3. ANNUITIES'!Q10</f>
        <v>-60</v>
      </c>
      <c r="AI25" s="177"/>
      <c r="AJ25" s="177"/>
      <c r="AK25" s="177" t="s">
        <v>35</v>
      </c>
      <c r="AL25" s="177">
        <f>(('4.LOANS'!H16))</f>
        <v>6</v>
      </c>
      <c r="AM25" s="177" t="s">
        <v>53</v>
      </c>
      <c r="AN25" s="177">
        <f>(('4.LOANS'!J16))</f>
        <v>6</v>
      </c>
      <c r="AO25" s="177"/>
      <c r="AP25" s="177"/>
      <c r="AQ25" s="177"/>
      <c r="AR25" s="177"/>
    </row>
    <row r="26" spans="11:69" ht="16" x14ac:dyDescent="0.35">
      <c r="K26" s="107" t="s">
        <v>192</v>
      </c>
      <c r="L26" s="109">
        <f>'2. SINGLE INVESTMENTS'!Z4*((1+'2. SINGLE INVESTMENTS'!Z5)^('2. SINGLE INVESTMENTS'!Z6))</f>
        <v>5187.4849202000041</v>
      </c>
      <c r="M26" s="109">
        <f>('2. SINGLE INVESTMENTS'!Z3)/(1+'2. SINGLE INVESTMENTS'!Z5)^('2. SINGLE INVESTMENTS'!Z6)</f>
        <v>3855.4328942953148</v>
      </c>
      <c r="N26" s="111">
        <f>(LOG('2. SINGLE INVESTMENTS'!Z3/'2. SINGLE INVESTMENTS'!Z4))/(LOG(1+'2. SINGLE INVESTMENTS'!Z5))</f>
        <v>16.886317030755073</v>
      </c>
      <c r="O26" s="110">
        <f>('2. SINGLE INVESTMENTS'!Z3/'2. SINGLE INVESTMENTS'!Z4)^(1/'2. SINGLE INVESTMENTS'!Z6*'2. SINGLE INVESTMENTS'!Z7)-1</f>
        <v>2.6238983183884779</v>
      </c>
      <c r="P26" s="112">
        <f>L26-M26</f>
        <v>1332.0520259046893</v>
      </c>
      <c r="U26" s="173">
        <f>('3. ANNUITIES'!Q12*'3. ANNUITIES'!Q8)/'3. ANNUITIES'!Q7</f>
        <v>2.6665768835317624E-2</v>
      </c>
      <c r="V26" s="155"/>
      <c r="AI26" s="177"/>
      <c r="AJ26" s="177"/>
      <c r="AK26" s="177"/>
      <c r="AL26" s="177"/>
      <c r="AM26" s="177"/>
      <c r="AN26" s="177"/>
      <c r="AO26" s="177"/>
      <c r="AP26" s="177"/>
      <c r="AQ26" s="177"/>
      <c r="AR26" s="177"/>
    </row>
    <row r="27" spans="11:69" ht="26" x14ac:dyDescent="0.35">
      <c r="K27" s="107" t="s">
        <v>193</v>
      </c>
      <c r="L27" s="109">
        <f>'2. SINGLE INVESTMENTS'!Z4*(1+('2. SINGLE INVESTMENTS'!Z5/'2. SINGLE INVESTMENTS'!Z7))^('2. SINGLE INVESTMENTS'!Z6*'2. SINGLE INVESTMENTS'!Z7)</f>
        <v>5402.9698815066695</v>
      </c>
      <c r="M27" s="95">
        <f>'2. SINGLE INVESTMENTS'!Z3/((1+('2. SINGLE INVESTMENTS'!Z5/'2. SINGLE INVESTMENTS'!Z7))^('2. SINGLE INVESTMENTS'!Z6*'2. SINGLE INVESTMENTS'!Z7))</f>
        <v>3701.6678676029951</v>
      </c>
      <c r="N27" s="109">
        <f>((LOG('2. SINGLE INVESTMENTS'!Z3/'2. SINGLE INVESTMENTS'!Z4))/(LOG(1+('2. SINGLE INVESTMENTS'!Z5/'2. SINGLE INVESTMENTS'!Z7))))/'2. SINGLE INVESTMENTS'!Z7</f>
        <v>16.194760731126202</v>
      </c>
      <c r="O27" s="110">
        <f>(('2. SINGLE INVESTMENTS'!Z3/'2. SINGLE INVESTMENTS'!Z4)^(1/('2. SINGLE INVESTMENTS'!Z6*'2. SINGLE INVESTMENTS'!Z7))-1)*'2. SINGLE INVESTMENTS'!Z7</f>
        <v>0.16257363410351822</v>
      </c>
      <c r="P27" s="95">
        <f>L27-M27</f>
        <v>1701.3020139036744</v>
      </c>
      <c r="U27" s="174"/>
      <c r="V27" s="155"/>
      <c r="AI27" s="177"/>
      <c r="AJ27" s="177"/>
      <c r="AK27" s="181" t="s">
        <v>58</v>
      </c>
      <c r="AL27" s="181" t="s">
        <v>59</v>
      </c>
      <c r="AM27" s="181" t="s">
        <v>56</v>
      </c>
      <c r="AN27" s="181" t="s">
        <v>60</v>
      </c>
      <c r="AO27" s="181" t="s">
        <v>61</v>
      </c>
      <c r="AP27" s="181" t="s">
        <v>62</v>
      </c>
      <c r="AQ27" s="177"/>
      <c r="AR27" s="177"/>
      <c r="BJ27" s="243"/>
      <c r="BK27" s="243"/>
      <c r="BL27" s="243"/>
      <c r="BM27" s="243"/>
      <c r="BN27" s="243"/>
      <c r="BO27" s="243"/>
      <c r="BP27" s="1"/>
      <c r="BQ27" s="1"/>
    </row>
    <row r="28" spans="11:69" x14ac:dyDescent="0.35">
      <c r="K28" s="107" t="s">
        <v>178</v>
      </c>
      <c r="L28" s="113">
        <f>('2. SINGLE INVESTMENTS'!K7)*EXP(1)^('2. SINGLE INVESTMENTS'!K8*'2. SINGLE INVESTMENTS'!K9)</f>
        <v>5436.5636569180906</v>
      </c>
      <c r="M28" s="113">
        <f>'2. SINGLE INVESTMENTS'!K6/EXP(1)^('2. SINGLE INVESTMENTS'!K8*'2. SINGLE INVESTMENTS'!K9)</f>
        <v>3678.7944117144234</v>
      </c>
      <c r="N28" s="113">
        <f>(LN('2. SINGLE INVESTMENTS'!K6/'2. SINGLE INVESTMENTS'!K7))/'2. SINGLE INVESTMENTS'!K8</f>
        <v>16.094379124341003</v>
      </c>
      <c r="O28" s="114">
        <f>(LN('2. SINGLE INVESTMENTS'!K6/'2. SINGLE INVESTMENTS'!K7))/'2. SINGLE INVESTMENTS'!K9</f>
        <v>0.16094379124341002</v>
      </c>
      <c r="P28" s="113"/>
      <c r="U28" s="175"/>
      <c r="V28" s="170">
        <f>U26+1</f>
        <v>1.0266657688353176</v>
      </c>
      <c r="AI28" s="177"/>
      <c r="AJ28" s="177"/>
      <c r="AK28" s="177" t="s">
        <v>63</v>
      </c>
      <c r="AL28" s="183">
        <f>AL23</f>
        <v>0.06</v>
      </c>
      <c r="AM28" s="184">
        <f>((1+AL23)^(1/AN24))-1</f>
        <v>2.9563014098699991E-2</v>
      </c>
      <c r="AN28" s="184">
        <f>(((1+AL23)^(1/AN24))-1)*AN24</f>
        <v>5.9126028197399982E-2</v>
      </c>
      <c r="AO28" s="184">
        <f>AL23/(AN25*AN24)</f>
        <v>5.0000000000000001E-3</v>
      </c>
      <c r="AP28" s="184">
        <f>LN(1+AL23)^(AL25)</f>
        <v>3.9140041396359375E-8</v>
      </c>
      <c r="AQ28" s="177"/>
      <c r="AR28" s="177"/>
      <c r="BJ28" s="38"/>
      <c r="BK28" s="372" t="s">
        <v>47</v>
      </c>
      <c r="BL28" s="372"/>
      <c r="BM28" s="372" t="s">
        <v>48</v>
      </c>
      <c r="BN28" s="372"/>
      <c r="BO28" s="38"/>
      <c r="BP28" s="5"/>
      <c r="BQ28" s="1"/>
    </row>
    <row r="29" spans="11:69" x14ac:dyDescent="0.35">
      <c r="AI29" s="177"/>
      <c r="AJ29" s="177"/>
      <c r="AK29" s="177" t="s">
        <v>65</v>
      </c>
      <c r="AL29" s="184">
        <f>((1+AL23)^(AL24))-1</f>
        <v>0.26247696000000031</v>
      </c>
      <c r="AM29" s="185">
        <f>((1+AL23)^(AL24/AN24))-1</f>
        <v>0.12360000000000015</v>
      </c>
      <c r="AN29" s="185">
        <f>((1+AL23)^(AL24/AN24)-1)*AN24</f>
        <v>0.24720000000000031</v>
      </c>
      <c r="AO29" s="184">
        <f>((1+AL23)^(AL24)-1)/AN24</f>
        <v>0.13123848000000016</v>
      </c>
      <c r="AP29" s="184">
        <f>LN((1+AL23)^(AL24))</f>
        <v>0.23307563249590335</v>
      </c>
      <c r="AQ29" s="177"/>
      <c r="AR29" s="177"/>
      <c r="BJ29" s="38"/>
      <c r="BK29" s="38" t="s">
        <v>49</v>
      </c>
      <c r="BL29" s="40">
        <f>'5. INCREASING ANNUITIES'!E36</f>
        <v>0.09</v>
      </c>
      <c r="BM29" s="41" t="s">
        <v>49</v>
      </c>
      <c r="BN29" s="42">
        <f>(('5. INCREASING ANNUITIES'!G36))</f>
        <v>0</v>
      </c>
      <c r="BO29" s="38"/>
      <c r="BP29" s="5"/>
      <c r="BQ29" s="1"/>
    </row>
    <row r="30" spans="11:69" x14ac:dyDescent="0.35">
      <c r="AI30" s="177"/>
      <c r="AJ30" s="177"/>
      <c r="AK30" s="177" t="s">
        <v>55</v>
      </c>
      <c r="AL30" s="184">
        <f>((1+AL23/AL24)^(12))-1</f>
        <v>0.19561817146153326</v>
      </c>
      <c r="AM30" s="185">
        <f>((1+AL23/AL24)^(AL24/AN24))-1</f>
        <v>3.0224999999999724E-2</v>
      </c>
      <c r="AN30" s="185">
        <f>((1+AL23/AL24)^(AL24/AN24)-1)*AN24</f>
        <v>6.0449999999999449E-2</v>
      </c>
      <c r="AO30" s="184">
        <f>((1+AL23/AL24)^(AL24)-1)/AN24</f>
        <v>3.0681775312499715E-2</v>
      </c>
      <c r="AP30" s="184">
        <f>LN((1+(AL23/AL24)))*(AL24*AL25)</f>
        <v>0.35732669985001342</v>
      </c>
      <c r="AQ30" s="177"/>
      <c r="AR30" s="177"/>
      <c r="BJ30" s="38"/>
      <c r="BK30" s="38" t="s">
        <v>34</v>
      </c>
      <c r="BL30" s="43">
        <f>'5. INCREASING ANNUITIES'!E37</f>
        <v>12</v>
      </c>
      <c r="BM30" s="38" t="s">
        <v>51</v>
      </c>
      <c r="BN30" s="43">
        <f>'5. INCREASING ANNUITIES'!G37</f>
        <v>12</v>
      </c>
      <c r="BO30" s="38"/>
      <c r="BP30" s="5"/>
      <c r="BQ30" s="1"/>
    </row>
    <row r="31" spans="11:69" x14ac:dyDescent="0.35">
      <c r="AI31" s="177"/>
      <c r="AJ31" s="177"/>
      <c r="AK31" s="177" t="s">
        <v>66</v>
      </c>
      <c r="AL31" s="184">
        <f>((1+AL23*AL24))-1</f>
        <v>0.24</v>
      </c>
      <c r="AM31" s="185">
        <f>((1+$AJ23*$AJ24)^(1/$AL24)-1)</f>
        <v>0</v>
      </c>
      <c r="AN31" s="185">
        <f>((1+$AJ23*$AJ24)^(1/$AL24)-1)*AN24</f>
        <v>0</v>
      </c>
      <c r="AO31" s="184">
        <f>((1+$AJ23*$AJ24)-1)/AN24</f>
        <v>0</v>
      </c>
      <c r="AP31" s="186">
        <f>LN(1+AL25*AL23*AL24)</f>
        <v>0.89199803930511046</v>
      </c>
      <c r="AQ31" s="177"/>
      <c r="AR31" s="177"/>
      <c r="BJ31" s="38"/>
      <c r="BK31" s="38" t="s">
        <v>35</v>
      </c>
      <c r="BL31" s="43">
        <f>(('5. INCREASING ANNUITIES'!E39))</f>
        <v>1</v>
      </c>
      <c r="BM31" s="38" t="s">
        <v>53</v>
      </c>
      <c r="BN31" s="43">
        <f>(('5. INCREASING ANNUITIES'!G39))</f>
        <v>1</v>
      </c>
      <c r="BO31" s="38"/>
      <c r="BP31" s="5"/>
      <c r="BQ31" s="1"/>
    </row>
    <row r="32" spans="11:69" x14ac:dyDescent="0.35">
      <c r="AI32" s="177"/>
      <c r="AJ32" s="177"/>
      <c r="AK32" s="177" t="s">
        <v>62</v>
      </c>
      <c r="AL32" s="184">
        <f>AK34^(AL23/(AN25*AN24))-1</f>
        <v>5.0125208594009596E-3</v>
      </c>
      <c r="AM32" s="186">
        <f>AK34^(AL23/(AN24*AN25))-1</f>
        <v>5.0125208594009596E-3</v>
      </c>
      <c r="AN32" s="184">
        <f>(AK34^(AL23/(AN24*AN25))-1)*AN24</f>
        <v>1.0025041718801919E-2</v>
      </c>
      <c r="AO32" s="184">
        <f>(AK34^(AL23)-1)/(AN25*AN24)</f>
        <v>5.1530455454466368E-3</v>
      </c>
      <c r="AP32" s="177"/>
      <c r="AQ32" s="177"/>
      <c r="AR32" s="177"/>
      <c r="BJ32" s="38"/>
      <c r="BK32" s="38"/>
      <c r="BL32" s="38"/>
      <c r="BM32" s="38"/>
      <c r="BN32" s="38"/>
      <c r="BO32" s="38"/>
      <c r="BP32" s="5"/>
      <c r="BQ32" s="1"/>
    </row>
    <row r="33" spans="35:69" ht="15" thickBot="1" x14ac:dyDescent="0.4">
      <c r="AI33" s="177"/>
      <c r="AJ33" s="177"/>
      <c r="AK33" s="177"/>
      <c r="AL33" s="177"/>
      <c r="AM33" s="177"/>
      <c r="AN33" s="177"/>
      <c r="AO33" s="177"/>
      <c r="AP33" s="177"/>
      <c r="AQ33" s="177"/>
      <c r="AR33" s="177"/>
      <c r="BJ33" s="38"/>
      <c r="BK33" s="44" t="s">
        <v>58</v>
      </c>
      <c r="BL33" s="44" t="s">
        <v>59</v>
      </c>
      <c r="BM33" s="44" t="s">
        <v>56</v>
      </c>
      <c r="BN33" s="44" t="s">
        <v>60</v>
      </c>
      <c r="BO33" s="44" t="s">
        <v>61</v>
      </c>
      <c r="BP33" s="7" t="s">
        <v>62</v>
      </c>
      <c r="BQ33" s="1"/>
    </row>
    <row r="34" spans="35:69" x14ac:dyDescent="0.35">
      <c r="AI34" s="177"/>
      <c r="AJ34" s="177"/>
      <c r="AK34" s="177">
        <f>EXP(1)</f>
        <v>2.7182818284590451</v>
      </c>
      <c r="AL34" s="177"/>
      <c r="AM34" s="177"/>
      <c r="AN34" s="177"/>
      <c r="AO34" s="177"/>
      <c r="AP34" s="177"/>
      <c r="AQ34" s="177"/>
      <c r="AR34" s="177"/>
      <c r="BJ34" s="38"/>
      <c r="BK34" s="45" t="s">
        <v>63</v>
      </c>
      <c r="BL34" s="46">
        <f>BL29</f>
        <v>0.09</v>
      </c>
      <c r="BM34" s="253">
        <f>((1+BL29)^(1/BN30))-1</f>
        <v>7.2073233161367156E-3</v>
      </c>
      <c r="BN34" s="253">
        <f>(((1+BL29)^(1/BN30))-1)*BN30</f>
        <v>8.6487879793640587E-2</v>
      </c>
      <c r="BO34" s="253">
        <f>BL29/(BN31*BN30)</f>
        <v>7.4999999999999997E-3</v>
      </c>
      <c r="BP34" s="8">
        <f>LN(1+BL29)^(BL31)</f>
        <v>8.6177696241052412E-2</v>
      </c>
      <c r="BQ34" s="1"/>
    </row>
    <row r="35" spans="35:69" x14ac:dyDescent="0.35">
      <c r="AI35" s="177"/>
      <c r="AJ35" s="177"/>
      <c r="AK35" s="177"/>
      <c r="AL35" s="177"/>
      <c r="AM35" s="187">
        <f>AR8*(1+AR11)^AR14</f>
        <v>0</v>
      </c>
      <c r="AN35" s="177"/>
      <c r="AO35" s="177"/>
      <c r="AP35" s="177"/>
      <c r="AQ35" s="177"/>
      <c r="AR35" s="177"/>
      <c r="BJ35" s="38"/>
      <c r="BK35" s="38" t="s">
        <v>65</v>
      </c>
      <c r="BL35" s="254">
        <f>((1+BL29)^(BL30))-1</f>
        <v>1.812664781782896</v>
      </c>
      <c r="BM35" s="40">
        <f>((1+BL29)^(BL30/BN30))-1</f>
        <v>9.000000000000008E-2</v>
      </c>
      <c r="BN35" s="40">
        <f>((1+BL29)^(BL30/BN30)-1)*BN30</f>
        <v>1.080000000000001</v>
      </c>
      <c r="BO35" s="254">
        <f>((1+BL29)^(BL30)-1)/BN30</f>
        <v>0.15105539848190799</v>
      </c>
      <c r="BP35" s="8">
        <f>LN((1+BL29)^(BL30))</f>
        <v>1.0341323548926284</v>
      </c>
      <c r="BQ35" s="1"/>
    </row>
    <row r="36" spans="35:69" x14ac:dyDescent="0.35">
      <c r="AI36" s="177"/>
      <c r="AJ36" s="177"/>
      <c r="AK36" s="177"/>
      <c r="AL36" s="177"/>
      <c r="AM36" s="177"/>
      <c r="AN36" s="177"/>
      <c r="AO36" s="177"/>
      <c r="AP36" s="177"/>
      <c r="AQ36" s="177"/>
      <c r="AR36" s="177"/>
      <c r="BJ36" s="38"/>
      <c r="BK36" s="38" t="s">
        <v>55</v>
      </c>
      <c r="BL36" s="254">
        <f>((1+BL29/BL30)^(12))-1</f>
        <v>9.3806897670984268E-2</v>
      </c>
      <c r="BM36" s="40">
        <f>((1+BL29/BL30)^(BL30/BN30))-1</f>
        <v>7.5000000000000622E-3</v>
      </c>
      <c r="BN36" s="40">
        <f>((1+BL29/BL30)^(BL30/BN30)-1)*BN30</f>
        <v>9.0000000000000746E-2</v>
      </c>
      <c r="BO36" s="254">
        <f>((1+BL29/BL30)^(BL30)-1)/BN30</f>
        <v>7.8172414725820229E-3</v>
      </c>
      <c r="BP36" s="8">
        <f>LN(1+BL29)^(BL31*BL30)</f>
        <v>1.677793705479402E-13</v>
      </c>
      <c r="BQ36" s="1"/>
    </row>
    <row r="37" spans="35:69" x14ac:dyDescent="0.35">
      <c r="AI37" s="177"/>
      <c r="AJ37" s="177"/>
      <c r="AK37" s="177"/>
      <c r="AL37" s="177"/>
      <c r="AM37" s="177"/>
      <c r="AN37" s="177"/>
      <c r="AO37" s="177"/>
      <c r="AP37" s="177"/>
      <c r="AQ37" s="177"/>
      <c r="AR37" s="177"/>
      <c r="BJ37" s="38"/>
      <c r="BK37" s="38" t="s">
        <v>66</v>
      </c>
      <c r="BL37" s="254">
        <f>((1+BL29*BL30))-1</f>
        <v>1.08</v>
      </c>
      <c r="BM37" s="40" t="e">
        <f>((1+#REF!*#REF!)^(1/$BK30)-1)</f>
        <v>#REF!</v>
      </c>
      <c r="BN37" s="40" t="e">
        <f>((1+#REF!*#REF!)^(1/$BK30)-1)*BN30</f>
        <v>#REF!</v>
      </c>
      <c r="BO37" s="254" t="e">
        <f>((1+#REF!*#REF!)-1)/BN30</f>
        <v>#REF!</v>
      </c>
      <c r="BP37" s="9">
        <f>LN(1+BL31*BL29*BL30)</f>
        <v>0.73236789371322664</v>
      </c>
      <c r="BQ37" s="1"/>
    </row>
    <row r="38" spans="35:69" x14ac:dyDescent="0.35">
      <c r="AI38" s="177"/>
      <c r="AJ38" s="177"/>
      <c r="AK38" s="177"/>
      <c r="AL38" s="177"/>
      <c r="AM38" s="177">
        <f>'4.LOANS'!R15*'4.LOANS'!R13</f>
        <v>15.463013698630137</v>
      </c>
      <c r="AN38" s="177"/>
      <c r="AO38" s="177"/>
      <c r="AP38" s="177"/>
      <c r="AQ38" s="177"/>
      <c r="AR38" s="177"/>
      <c r="BJ38" s="255"/>
      <c r="BK38" s="38" t="s">
        <v>62</v>
      </c>
      <c r="BL38" s="254">
        <f>BK39^(BL29/(BN31*BN30))-1</f>
        <v>7.5281954445338695E-3</v>
      </c>
      <c r="BM38" s="254">
        <f>BK39^(BL29/(BN30*BN31))-1</f>
        <v>7.5281954445338695E-3</v>
      </c>
      <c r="BN38" s="254">
        <f>(BK39^(BL29/(BN30*BN31))-1)*BN30</f>
        <v>9.0338345334406434E-2</v>
      </c>
      <c r="BO38" s="254">
        <f>(BK39^(BL29)-1)/(BN31*BN30)</f>
        <v>7.8478569754342007E-3</v>
      </c>
      <c r="BP38" s="6"/>
      <c r="BQ38" s="1"/>
    </row>
    <row r="39" spans="35:69" x14ac:dyDescent="0.35">
      <c r="AI39" s="177"/>
      <c r="AJ39" s="177"/>
      <c r="AK39" s="177"/>
      <c r="AL39" s="177"/>
      <c r="AM39" s="188">
        <f>'4.LOANS'!R11*'4.LOANS'!R14-'4.LOANS'!R12</f>
        <v>5000</v>
      </c>
      <c r="AN39" s="177" t="s">
        <v>242</v>
      </c>
      <c r="AO39" s="177"/>
      <c r="AP39" s="177"/>
      <c r="AQ39" s="177"/>
      <c r="AR39" s="177"/>
      <c r="BJ39" s="255"/>
      <c r="BK39" s="38">
        <f>EXP(1)</f>
        <v>2.7182818284590451</v>
      </c>
      <c r="BL39" s="38"/>
      <c r="BM39" s="38"/>
      <c r="BN39" s="38"/>
      <c r="BO39" s="38"/>
      <c r="BP39" s="5"/>
      <c r="BQ39" s="1"/>
    </row>
    <row r="40" spans="35:69" x14ac:dyDescent="0.35">
      <c r="AI40" s="177"/>
      <c r="AJ40" s="177"/>
      <c r="AK40" s="177"/>
      <c r="AL40" s="177"/>
      <c r="AM40" s="177">
        <f>((1+'4.LOANS'!R14)^'4.LOANS'!R18)-1</f>
        <v>0.26247696000000031</v>
      </c>
      <c r="AN40" s="177">
        <f>((1+'4.LOANS'!R14)^'4.LOANS'!R20)-1</f>
        <v>0.12360000000000015</v>
      </c>
      <c r="AO40" s="177"/>
      <c r="AP40" s="177"/>
      <c r="AQ40" s="177"/>
      <c r="AR40" s="177"/>
    </row>
    <row r="41" spans="35:69" x14ac:dyDescent="0.35">
      <c r="AI41" s="177"/>
      <c r="AJ41" s="177"/>
      <c r="AK41" s="177"/>
      <c r="AL41" s="177"/>
      <c r="AM41" s="177">
        <f>(AM40/'4.LOANS'!R14)</f>
        <v>4.3746160000000058</v>
      </c>
      <c r="AN41" s="177">
        <f>AN40/'4.LOANS'!R14</f>
        <v>2.0600000000000027</v>
      </c>
      <c r="AO41" s="177"/>
      <c r="AP41" s="177"/>
      <c r="AQ41" s="177"/>
      <c r="AR41" s="177"/>
    </row>
    <row r="42" spans="35:69" x14ac:dyDescent="0.35">
      <c r="AI42" s="177"/>
      <c r="AJ42" s="177"/>
      <c r="AK42" s="177"/>
      <c r="AL42" s="177"/>
      <c r="AM42" s="187">
        <f>'4.LOANS'!R18*'4.LOANS'!R12</f>
        <v>40000</v>
      </c>
      <c r="AN42" s="187">
        <f>'4.LOANS'!R20*'4.LOANS'!R12</f>
        <v>20000</v>
      </c>
      <c r="AO42" s="177"/>
      <c r="AP42" s="177"/>
      <c r="AQ42" s="177"/>
      <c r="AR42" s="177"/>
    </row>
    <row r="43" spans="35:69" x14ac:dyDescent="0.35">
      <c r="AI43" s="177"/>
      <c r="AJ43" s="177"/>
      <c r="AK43" s="177"/>
      <c r="AL43" s="177"/>
      <c r="AM43" s="188">
        <f>((AM39)*(AM41)+AM42)</f>
        <v>61873.080000000031</v>
      </c>
      <c r="AN43" s="187">
        <f>((AM39)*(AN41)+AN42)</f>
        <v>30300.000000000015</v>
      </c>
      <c r="AO43" s="177"/>
      <c r="AP43" s="177"/>
      <c r="AQ43" s="177"/>
      <c r="AR43" s="177"/>
    </row>
    <row r="44" spans="35:69" x14ac:dyDescent="0.35">
      <c r="AI44" s="177"/>
      <c r="AJ44" s="177"/>
      <c r="AK44" s="177"/>
      <c r="AL44" s="177"/>
      <c r="AM44" s="187">
        <f>'4.LOANS'!R18*'4.LOANS'!R12-AM43</f>
        <v>-21873.080000000031</v>
      </c>
      <c r="AN44" s="187">
        <f>'4.LOANS'!R20*'4.LOANS'!R12-AN43</f>
        <v>-10300.000000000015</v>
      </c>
      <c r="AO44" s="177"/>
      <c r="AP44" s="177"/>
      <c r="AQ44" s="177"/>
      <c r="AR44" s="177"/>
    </row>
    <row r="45" spans="35:69" x14ac:dyDescent="0.35">
      <c r="AI45" s="177"/>
      <c r="AJ45" s="177"/>
      <c r="AK45" s="177"/>
      <c r="AL45" s="177"/>
      <c r="AM45" s="177"/>
      <c r="AN45" s="177"/>
      <c r="AO45" s="177"/>
      <c r="AP45" s="177"/>
      <c r="AQ45" s="177"/>
      <c r="AR45" s="177"/>
    </row>
    <row r="46" spans="35:69" x14ac:dyDescent="0.35">
      <c r="AI46" s="177"/>
      <c r="AJ46" s="177"/>
      <c r="AK46" s="177"/>
      <c r="AL46" s="177"/>
      <c r="AM46" s="177"/>
      <c r="AN46" s="177"/>
      <c r="AO46" s="177"/>
      <c r="AP46" s="177"/>
      <c r="AQ46" s="177"/>
      <c r="AR46" s="177"/>
    </row>
  </sheetData>
  <mergeCells count="13">
    <mergeCell ref="BK28:BL28"/>
    <mergeCell ref="BM28:BN28"/>
    <mergeCell ref="A1:H1"/>
    <mergeCell ref="A2:B2"/>
    <mergeCell ref="C2:D2"/>
    <mergeCell ref="I1:R1"/>
    <mergeCell ref="S1:AE1"/>
    <mergeCell ref="AF1:AT1"/>
    <mergeCell ref="AU1:BG1"/>
    <mergeCell ref="Y23:Z23"/>
    <mergeCell ref="BJ4:BM4"/>
    <mergeCell ref="BL6:BM9"/>
    <mergeCell ref="BJ11:BM11"/>
  </mergeCells>
  <conditionalFormatting sqref="A8:A11">
    <cfRule type="colorScale" priority="6">
      <colorScale>
        <cfvo type="min"/>
        <cfvo type="percentile" val="50"/>
        <cfvo type="max"/>
        <color rgb="FFF8696B"/>
        <color rgb="FFFFEB84"/>
        <color rgb="FF63BE7B"/>
      </colorScale>
    </cfRule>
  </conditionalFormatting>
  <conditionalFormatting sqref="K11:K14">
    <cfRule type="colorScale" priority="4">
      <colorScale>
        <cfvo type="min"/>
        <cfvo type="percentile" val="50"/>
        <cfvo type="max"/>
        <color rgb="FFF8696B"/>
        <color rgb="FFFFEB84"/>
        <color rgb="FF63BE7B"/>
      </colorScale>
    </cfRule>
  </conditionalFormatting>
  <conditionalFormatting sqref="Y14:Y17">
    <cfRule type="colorScale" priority="3">
      <colorScale>
        <cfvo type="min"/>
        <cfvo type="percentile" val="50"/>
        <cfvo type="max"/>
        <color rgb="FFF8696B"/>
        <color rgb="FFFFEB84"/>
        <color rgb="FF63BE7B"/>
      </colorScale>
    </cfRule>
  </conditionalFormatting>
  <conditionalFormatting sqref="AK28:AK31">
    <cfRule type="colorScale" priority="2">
      <colorScale>
        <cfvo type="min"/>
        <cfvo type="percentile" val="50"/>
        <cfvo type="max"/>
        <color rgb="FFF8696B"/>
        <color rgb="FFFFEB84"/>
        <color rgb="FF63BE7B"/>
      </colorScale>
    </cfRule>
  </conditionalFormatting>
  <conditionalFormatting sqref="BK34:BK37">
    <cfRule type="colorScale" priority="1">
      <colorScale>
        <cfvo type="min"/>
        <cfvo type="percentile" val="50"/>
        <cfvo type="max"/>
        <color rgb="FFF8696B"/>
        <color rgb="FFFFEB84"/>
        <color rgb="FF63BE7B"/>
      </colorScale>
    </cfRule>
  </conditionalFormatting>
  <dataValidations count="4">
    <dataValidation type="list" allowBlank="1" showInputMessage="1" showErrorMessage="1" sqref="K11:K14" xr:uid="{586C10CE-91FC-4EA6-B287-424CC37CD409}">
      <formula1>$C$18</formula1>
    </dataValidation>
    <dataValidation type="list" allowBlank="1" showInputMessage="1" showErrorMessage="1" sqref="Y14:Y17" xr:uid="{7178925C-4B25-44E6-9713-B7A492E995B3}">
      <formula1>$F$17</formula1>
    </dataValidation>
    <dataValidation type="list" allowBlank="1" showInputMessage="1" showErrorMessage="1" sqref="AK28:AK31" xr:uid="{9B04EB2A-6C58-4EFE-98AF-391665DEA423}">
      <formula1>$L$27</formula1>
    </dataValidation>
    <dataValidation type="list" allowBlank="1" showInputMessage="1" showErrorMessage="1" sqref="A8:A11 BK34:BK37" xr:uid="{720BAA40-AE4A-4AB3-87DA-283688EA446A}">
      <formula1>$K$8</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70</vt:i4>
      </vt:variant>
    </vt:vector>
  </HeadingPairs>
  <TitlesOfParts>
    <vt:vector size="79" baseType="lpstr">
      <vt:lpstr>HOME</vt:lpstr>
      <vt:lpstr>1. RATE CONVERTER</vt:lpstr>
      <vt:lpstr>2. SINGLE INVESTMENTS</vt:lpstr>
      <vt:lpstr>3. ANNUITIES</vt:lpstr>
      <vt:lpstr>4.LOANS</vt:lpstr>
      <vt:lpstr>5. INCREASING ANNUITIES</vt:lpstr>
      <vt:lpstr>TEB</vt:lpstr>
      <vt:lpstr>BACKROOM2_TEB</vt:lpstr>
      <vt:lpstr>BACKROOM1</vt:lpstr>
      <vt:lpstr>Absa_Group_Limited</vt:lpstr>
      <vt:lpstr>AlibabaGroup</vt:lpstr>
      <vt:lpstr>Amazon</vt:lpstr>
      <vt:lpstr>AngloAmerican</vt:lpstr>
      <vt:lpstr>Apple</vt:lpstr>
      <vt:lpstr>BancodoBrasil</vt:lpstr>
      <vt:lpstr>BM</vt:lpstr>
      <vt:lpstr>BMW</vt:lpstr>
      <vt:lpstr>BP</vt:lpstr>
      <vt:lpstr>Brazil</vt:lpstr>
      <vt:lpstr>BritishAmericanTobacco</vt:lpstr>
      <vt:lpstr>China</vt:lpstr>
      <vt:lpstr>ChinaConstructionBank</vt:lpstr>
      <vt:lpstr>CiscoSystems</vt:lpstr>
      <vt:lpstr>CompanyList</vt:lpstr>
      <vt:lpstr>CountryList</vt:lpstr>
      <vt:lpstr>Dell</vt:lpstr>
      <vt:lpstr>DiscoveryLimited</vt:lpstr>
      <vt:lpstr>EskomHoldings</vt:lpstr>
      <vt:lpstr>ExchangeList</vt:lpstr>
      <vt:lpstr>Facebook</vt:lpstr>
      <vt:lpstr>FirstRandLimited</vt:lpstr>
      <vt:lpstr>FSE</vt:lpstr>
      <vt:lpstr>Gazprom</vt:lpstr>
      <vt:lpstr>Germany</vt:lpstr>
      <vt:lpstr>GlaxoSmithKline</vt:lpstr>
      <vt:lpstr>Google</vt:lpstr>
      <vt:lpstr>Honda</vt:lpstr>
      <vt:lpstr>HP</vt:lpstr>
      <vt:lpstr>HSBCHoldings</vt:lpstr>
      <vt:lpstr>Huawei</vt:lpstr>
      <vt:lpstr>Industrial_CommercialBankofChina</vt:lpstr>
      <vt:lpstr>Intel</vt:lpstr>
      <vt:lpstr>ItaúUnibanco</vt:lpstr>
      <vt:lpstr>Japan</vt:lpstr>
      <vt:lpstr>JBS</vt:lpstr>
      <vt:lpstr>JSE</vt:lpstr>
      <vt:lpstr>Konami</vt:lpstr>
      <vt:lpstr>LSE</vt:lpstr>
      <vt:lpstr>Lukoil</vt:lpstr>
      <vt:lpstr>MercedesBenz</vt:lpstr>
      <vt:lpstr>Microsoft</vt:lpstr>
      <vt:lpstr>MOEX</vt:lpstr>
      <vt:lpstr>MTN_Group</vt:lpstr>
      <vt:lpstr>Nasdaq</vt:lpstr>
      <vt:lpstr>Naspers</vt:lpstr>
      <vt:lpstr>Nissan</vt:lpstr>
      <vt:lpstr>Oracle</vt:lpstr>
      <vt:lpstr>Petrobras</vt:lpstr>
      <vt:lpstr>RateList</vt:lpstr>
      <vt:lpstr>Rosneft</vt:lpstr>
      <vt:lpstr>Rostelecom</vt:lpstr>
      <vt:lpstr>Russia</vt:lpstr>
      <vt:lpstr>Sanlam</vt:lpstr>
      <vt:lpstr>Sasol</vt:lpstr>
      <vt:lpstr>Sberbank</vt:lpstr>
      <vt:lpstr>Shell</vt:lpstr>
      <vt:lpstr>ShopriteHoldings</vt:lpstr>
      <vt:lpstr>Sony</vt:lpstr>
      <vt:lpstr>SouthAfrica</vt:lpstr>
      <vt:lpstr>SSE</vt:lpstr>
      <vt:lpstr>StandardBankGroup</vt:lpstr>
      <vt:lpstr>Subaru</vt:lpstr>
      <vt:lpstr>TencentHoldings</vt:lpstr>
      <vt:lpstr>Toyota</vt:lpstr>
      <vt:lpstr>TSE</vt:lpstr>
      <vt:lpstr>UK</vt:lpstr>
      <vt:lpstr>USA</vt:lpstr>
      <vt:lpstr>Vale</vt:lpstr>
      <vt:lpstr>Visa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kgatlisosimon@gmail.com</dc:creator>
  <cp:lastModifiedBy>Simon Motlhodimang</cp:lastModifiedBy>
  <cp:lastPrinted>2024-05-18T08:58:34Z</cp:lastPrinted>
  <dcterms:created xsi:type="dcterms:W3CDTF">2024-05-18T07:32:25Z</dcterms:created>
  <dcterms:modified xsi:type="dcterms:W3CDTF">2024-08-22T14:57:59Z</dcterms:modified>
</cp:coreProperties>
</file>